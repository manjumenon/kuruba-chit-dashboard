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AC03AF0-8411-4266-854B-00E5D38F5EB2}" xr6:coauthVersionLast="47" xr6:coauthVersionMax="47" xr10:uidLastSave="{00000000-0000-0000-0000-000000000000}"/>
  <bookViews>
    <workbookView xWindow="20370" yWindow="-120" windowWidth="29040" windowHeight="16440" xr2:uid="{00000000-000D-0000-FFFF-FFFF00000000}"/>
  </bookViews>
  <sheets>
    <sheet name="Dashboard Item (ಡ್ಯಾಶ್‌ಬೋರ್ಡ್ ಅ" sheetId="1" r:id="rId1"/>
    <sheet name="MEMBER REGISTER (ಸದಸ್ಯರ ಪಟ್ಟಿ)" sheetId="2" r:id="rId2"/>
    <sheet name="RECEIVED AMOUNT ( ಸ್ವೀಕರಿಸಿದ ಮೊ" sheetId="3" r:id="rId3"/>
    <sheet name="CHIT REGISTER (ಮಾಸಿಕ ಚಿಟ್ ನೋಂದಣ" sheetId="4" r:id="rId4"/>
    <sheet name="MEMBER PAYMENT LEDGER (ಸದಸ್ಯರ ಪ" sheetId="5" r:id="rId5"/>
  </sheets>
  <definedNames>
    <definedName name="_xlnm._FilterDatabase" localSheetId="3" hidden="1">'CHIT REGISTER (ಮಾಸಿಕ ಚಿಟ್ ನೋಂದಣ'!$A$4:$I$502</definedName>
    <definedName name="_xlnm._FilterDatabase" localSheetId="4" hidden="1">'MEMBER PAYMENT LEDGER (ಸದಸ್ಯರ ಪ'!$A$4:$H$997</definedName>
    <definedName name="_xlnm._FilterDatabase" localSheetId="1" hidden="1">'MEMBER REGISTER (ಸದಸ್ಯರ ಪಟ್ಟಿ)'!$A$4:$D$504</definedName>
    <definedName name="_xlnm._FilterDatabase" localSheetId="2" hidden="1">'RECEIVED AMOUNT ( ಸ್ವೀಕರಿಸಿದ ಮೊ'!$A$4:$E$1003</definedName>
    <definedName name="MemberNames">'MEMBER REGISTER (ಸದಸ್ಯರ ಪಟ್ಟಿ)'!$B$5:$B$22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1" l="1"/>
  <c r="G502" i="4"/>
  <c r="A502" i="4"/>
  <c r="G501" i="4"/>
  <c r="A501" i="4"/>
  <c r="G500" i="4"/>
  <c r="A500" i="4"/>
  <c r="G499" i="4"/>
  <c r="A499" i="4"/>
  <c r="G498" i="4"/>
  <c r="A498" i="4"/>
  <c r="G497" i="4"/>
  <c r="A497" i="4"/>
  <c r="G496" i="4"/>
  <c r="A496" i="4"/>
  <c r="G495" i="4"/>
  <c r="A495" i="4"/>
  <c r="G494" i="4"/>
  <c r="A494" i="4"/>
  <c r="G493" i="4"/>
  <c r="A493" i="4"/>
  <c r="G492" i="4"/>
  <c r="A492" i="4"/>
  <c r="G491" i="4"/>
  <c r="A491" i="4"/>
  <c r="G490" i="4"/>
  <c r="A490" i="4"/>
  <c r="G489" i="4"/>
  <c r="A489" i="4"/>
  <c r="G488" i="4"/>
  <c r="A488" i="4"/>
  <c r="G487" i="4"/>
  <c r="A487" i="4"/>
  <c r="G486" i="4"/>
  <c r="A486" i="4"/>
  <c r="G485" i="4"/>
  <c r="A485" i="4"/>
  <c r="G484" i="4"/>
  <c r="A484" i="4"/>
  <c r="G483" i="4"/>
  <c r="A483" i="4"/>
  <c r="G482" i="4"/>
  <c r="A482" i="4"/>
  <c r="G481" i="4"/>
  <c r="A481" i="4"/>
  <c r="G480" i="4"/>
  <c r="A480" i="4"/>
  <c r="G479" i="4"/>
  <c r="A479" i="4"/>
  <c r="G478" i="4"/>
  <c r="A478" i="4"/>
  <c r="G477" i="4"/>
  <c r="A477" i="4"/>
  <c r="G476" i="4"/>
  <c r="A476" i="4"/>
  <c r="G475" i="4"/>
  <c r="A475" i="4"/>
  <c r="G474" i="4"/>
  <c r="A474" i="4"/>
  <c r="G473" i="4"/>
  <c r="A473" i="4"/>
  <c r="G472" i="4"/>
  <c r="A472" i="4"/>
  <c r="G471" i="4"/>
  <c r="A471" i="4"/>
  <c r="G470" i="4"/>
  <c r="A470" i="4"/>
  <c r="G469" i="4"/>
  <c r="A469" i="4"/>
  <c r="G468" i="4"/>
  <c r="A468" i="4"/>
  <c r="G467" i="4"/>
  <c r="A467" i="4"/>
  <c r="G466" i="4"/>
  <c r="A466" i="4"/>
  <c r="G465" i="4"/>
  <c r="A465" i="4"/>
  <c r="G464" i="4"/>
  <c r="A464" i="4"/>
  <c r="G463" i="4"/>
  <c r="A463" i="4"/>
  <c r="G462" i="4"/>
  <c r="A462" i="4"/>
  <c r="G461" i="4"/>
  <c r="A461" i="4"/>
  <c r="G460" i="4"/>
  <c r="A460" i="4"/>
  <c r="G459" i="4"/>
  <c r="A459" i="4"/>
  <c r="G458" i="4"/>
  <c r="A458" i="4"/>
  <c r="G457" i="4"/>
  <c r="A457" i="4"/>
  <c r="G456" i="4"/>
  <c r="A456" i="4"/>
  <c r="G455" i="4"/>
  <c r="A455" i="4"/>
  <c r="G454" i="4"/>
  <c r="A454" i="4"/>
  <c r="G453" i="4"/>
  <c r="A453" i="4"/>
  <c r="G452" i="4"/>
  <c r="A452" i="4"/>
  <c r="G451" i="4"/>
  <c r="A451" i="4"/>
  <c r="G450" i="4"/>
  <c r="A450" i="4"/>
  <c r="G449" i="4"/>
  <c r="A449" i="4"/>
  <c r="G448" i="4"/>
  <c r="A448" i="4"/>
  <c r="G447" i="4"/>
  <c r="A447" i="4"/>
  <c r="G446" i="4"/>
  <c r="A446" i="4"/>
  <c r="G445" i="4"/>
  <c r="A445" i="4"/>
  <c r="G444" i="4"/>
  <c r="A444" i="4"/>
  <c r="G443" i="4"/>
  <c r="A443" i="4"/>
  <c r="G442" i="4"/>
  <c r="A442" i="4"/>
  <c r="G441" i="4"/>
  <c r="A441" i="4"/>
  <c r="G440" i="4"/>
  <c r="A440" i="4"/>
  <c r="G439" i="4"/>
  <c r="A439" i="4"/>
  <c r="G438" i="4"/>
  <c r="A438" i="4"/>
  <c r="G437" i="4"/>
  <c r="A437" i="4"/>
  <c r="G436" i="4"/>
  <c r="A436" i="4"/>
  <c r="G435" i="4"/>
  <c r="A435" i="4"/>
  <c r="G434" i="4"/>
  <c r="A434" i="4"/>
  <c r="G433" i="4"/>
  <c r="A433" i="4"/>
  <c r="G432" i="4"/>
  <c r="A432" i="4"/>
  <c r="G431" i="4"/>
  <c r="A431" i="4"/>
  <c r="G430" i="4"/>
  <c r="A430" i="4"/>
  <c r="G429" i="4"/>
  <c r="A429" i="4"/>
  <c r="G428" i="4"/>
  <c r="A428" i="4"/>
  <c r="G427" i="4"/>
  <c r="A427" i="4"/>
  <c r="G426" i="4"/>
  <c r="A426" i="4"/>
  <c r="G425" i="4"/>
  <c r="A425" i="4"/>
  <c r="G424" i="4"/>
  <c r="A424" i="4"/>
  <c r="G423" i="4"/>
  <c r="A423" i="4"/>
  <c r="G422" i="4"/>
  <c r="A422" i="4"/>
  <c r="G421" i="4"/>
  <c r="A421" i="4"/>
  <c r="G420" i="4"/>
  <c r="A420" i="4"/>
  <c r="G419" i="4"/>
  <c r="A419" i="4"/>
  <c r="G418" i="4"/>
  <c r="A418" i="4"/>
  <c r="G417" i="4"/>
  <c r="A417" i="4"/>
  <c r="G416" i="4"/>
  <c r="A416" i="4"/>
  <c r="G415" i="4"/>
  <c r="A415" i="4"/>
  <c r="G414" i="4"/>
  <c r="A414" i="4"/>
  <c r="G413" i="4"/>
  <c r="A413" i="4"/>
  <c r="G412" i="4"/>
  <c r="A412" i="4"/>
  <c r="G411" i="4"/>
  <c r="A411" i="4"/>
  <c r="G410" i="4"/>
  <c r="A410" i="4"/>
  <c r="G409" i="4"/>
  <c r="A409" i="4"/>
  <c r="G408" i="4"/>
  <c r="A408" i="4"/>
  <c r="G407" i="4"/>
  <c r="A407" i="4"/>
  <c r="G406" i="4"/>
  <c r="A406" i="4"/>
  <c r="G405" i="4"/>
  <c r="A405" i="4"/>
  <c r="G404" i="4"/>
  <c r="A404" i="4"/>
  <c r="G403" i="4"/>
  <c r="A403" i="4"/>
  <c r="G402" i="4"/>
  <c r="A402" i="4"/>
  <c r="G401" i="4"/>
  <c r="A401" i="4"/>
  <c r="G400" i="4"/>
  <c r="A400" i="4"/>
  <c r="G399" i="4"/>
  <c r="A399" i="4"/>
  <c r="G398" i="4"/>
  <c r="A398" i="4"/>
  <c r="G397" i="4"/>
  <c r="A397" i="4"/>
  <c r="G396" i="4"/>
  <c r="A396" i="4"/>
  <c r="G395" i="4"/>
  <c r="A395" i="4"/>
  <c r="G394" i="4"/>
  <c r="A394" i="4"/>
  <c r="G393" i="4"/>
  <c r="A393" i="4"/>
  <c r="G392" i="4"/>
  <c r="A392" i="4"/>
  <c r="G391" i="4"/>
  <c r="A391" i="4"/>
  <c r="G390" i="4"/>
  <c r="A390" i="4"/>
  <c r="G389" i="4"/>
  <c r="A389" i="4"/>
  <c r="G388" i="4"/>
  <c r="A388" i="4"/>
  <c r="G387" i="4"/>
  <c r="A387" i="4"/>
  <c r="G386" i="4"/>
  <c r="A386" i="4"/>
  <c r="G385" i="4"/>
  <c r="A385" i="4"/>
  <c r="G384" i="4"/>
  <c r="A384" i="4"/>
  <c r="G383" i="4"/>
  <c r="A383" i="4"/>
  <c r="G382" i="4"/>
  <c r="A382" i="4"/>
  <c r="G381" i="4"/>
  <c r="A381" i="4"/>
  <c r="G380" i="4"/>
  <c r="A380" i="4"/>
  <c r="G379" i="4"/>
  <c r="A379" i="4"/>
  <c r="G378" i="4"/>
  <c r="A378" i="4"/>
  <c r="G377" i="4"/>
  <c r="A377" i="4"/>
  <c r="G376" i="4"/>
  <c r="A376" i="4"/>
  <c r="G375" i="4"/>
  <c r="A375" i="4"/>
  <c r="G374" i="4"/>
  <c r="A374" i="4"/>
  <c r="G373" i="4"/>
  <c r="A373" i="4"/>
  <c r="G372" i="4"/>
  <c r="A372" i="4"/>
  <c r="G371" i="4"/>
  <c r="A371" i="4"/>
  <c r="G370" i="4"/>
  <c r="A370" i="4"/>
  <c r="G369" i="4"/>
  <c r="A369" i="4"/>
  <c r="G368" i="4"/>
  <c r="A368" i="4"/>
  <c r="G367" i="4"/>
  <c r="A367" i="4"/>
  <c r="G366" i="4"/>
  <c r="A366" i="4"/>
  <c r="G365" i="4"/>
  <c r="A365" i="4"/>
  <c r="G364" i="4"/>
  <c r="A364" i="4"/>
  <c r="G363" i="4"/>
  <c r="A363" i="4"/>
  <c r="G362" i="4"/>
  <c r="A362" i="4"/>
  <c r="G361" i="4"/>
  <c r="A361" i="4"/>
  <c r="G360" i="4"/>
  <c r="A360" i="4"/>
  <c r="G359" i="4"/>
  <c r="A359" i="4"/>
  <c r="G358" i="4"/>
  <c r="A358" i="4"/>
  <c r="G357" i="4"/>
  <c r="A357" i="4"/>
  <c r="G356" i="4"/>
  <c r="A356" i="4"/>
  <c r="G355" i="4"/>
  <c r="A355" i="4"/>
  <c r="G354" i="4"/>
  <c r="A354" i="4"/>
  <c r="G353" i="4"/>
  <c r="A353" i="4"/>
  <c r="G352" i="4"/>
  <c r="A352" i="4"/>
  <c r="G351" i="4"/>
  <c r="A351" i="4"/>
  <c r="G350" i="4"/>
  <c r="A350" i="4"/>
  <c r="G349" i="4"/>
  <c r="A349" i="4"/>
  <c r="G348" i="4"/>
  <c r="A348" i="4"/>
  <c r="G347" i="4"/>
  <c r="A347" i="4"/>
  <c r="G346" i="4"/>
  <c r="A346" i="4"/>
  <c r="G345" i="4"/>
  <c r="A345" i="4"/>
  <c r="G344" i="4"/>
  <c r="A344" i="4"/>
  <c r="G343" i="4"/>
  <c r="A343" i="4"/>
  <c r="G342" i="4"/>
  <c r="A342" i="4"/>
  <c r="G341" i="4"/>
  <c r="A341" i="4"/>
  <c r="G340" i="4"/>
  <c r="A340" i="4"/>
  <c r="G339" i="4"/>
  <c r="A339" i="4"/>
  <c r="G338" i="4"/>
  <c r="A338" i="4"/>
  <c r="G337" i="4"/>
  <c r="A337" i="4"/>
  <c r="G336" i="4"/>
  <c r="A336" i="4"/>
  <c r="G335" i="4"/>
  <c r="A335" i="4"/>
  <c r="G334" i="4"/>
  <c r="A334" i="4"/>
  <c r="G333" i="4"/>
  <c r="A333" i="4"/>
  <c r="G332" i="4"/>
  <c r="A332" i="4"/>
  <c r="G331" i="4"/>
  <c r="A331" i="4"/>
  <c r="G330" i="4"/>
  <c r="A330" i="4"/>
  <c r="G329" i="4"/>
  <c r="A329" i="4"/>
  <c r="G328" i="4"/>
  <c r="A328" i="4"/>
  <c r="G327" i="4"/>
  <c r="A327" i="4"/>
  <c r="G326" i="4"/>
  <c r="A326" i="4"/>
  <c r="G325" i="4"/>
  <c r="A325" i="4"/>
  <c r="G324" i="4"/>
  <c r="A324" i="4"/>
  <c r="G323" i="4"/>
  <c r="A323" i="4"/>
  <c r="G322" i="4"/>
  <c r="A322" i="4"/>
  <c r="G321" i="4"/>
  <c r="A321" i="4"/>
  <c r="G320" i="4"/>
  <c r="A320" i="4"/>
  <c r="G319" i="4"/>
  <c r="A319" i="4"/>
  <c r="G318" i="4"/>
  <c r="A318" i="4"/>
  <c r="G317" i="4"/>
  <c r="A317" i="4"/>
  <c r="G316" i="4"/>
  <c r="A316" i="4"/>
  <c r="G315" i="4"/>
  <c r="A315" i="4"/>
  <c r="G314" i="4"/>
  <c r="A314" i="4"/>
  <c r="G313" i="4"/>
  <c r="A313" i="4"/>
  <c r="G312" i="4"/>
  <c r="A312" i="4"/>
  <c r="G311" i="4"/>
  <c r="A311" i="4"/>
  <c r="G310" i="4"/>
  <c r="A310" i="4"/>
  <c r="G309" i="4"/>
  <c r="A309" i="4"/>
  <c r="G308" i="4"/>
  <c r="A308" i="4"/>
  <c r="G307" i="4"/>
  <c r="A307" i="4"/>
  <c r="G306" i="4"/>
  <c r="A306" i="4"/>
  <c r="G305" i="4"/>
  <c r="A305" i="4"/>
  <c r="G304" i="4"/>
  <c r="A304" i="4"/>
  <c r="G303" i="4"/>
  <c r="A303" i="4"/>
  <c r="G302" i="4"/>
  <c r="A302" i="4"/>
  <c r="G301" i="4"/>
  <c r="A301" i="4"/>
  <c r="G300" i="4"/>
  <c r="A300" i="4"/>
  <c r="G299" i="4"/>
  <c r="A299" i="4"/>
  <c r="G298" i="4"/>
  <c r="A298" i="4"/>
  <c r="G297" i="4"/>
  <c r="A297" i="4"/>
  <c r="G296" i="4"/>
  <c r="A296" i="4"/>
  <c r="G295" i="4"/>
  <c r="A295" i="4"/>
  <c r="G294" i="4"/>
  <c r="A294" i="4"/>
  <c r="G293" i="4"/>
  <c r="A293" i="4"/>
  <c r="G292" i="4"/>
  <c r="A292" i="4"/>
  <c r="G291" i="4"/>
  <c r="A291" i="4"/>
  <c r="G290" i="4"/>
  <c r="A290" i="4"/>
  <c r="G289" i="4"/>
  <c r="A289" i="4"/>
  <c r="G288" i="4"/>
  <c r="A288" i="4"/>
  <c r="G287" i="4"/>
  <c r="A287" i="4"/>
  <c r="G286" i="4"/>
  <c r="A286" i="4"/>
  <c r="G285" i="4"/>
  <c r="A285" i="4"/>
  <c r="G284" i="4"/>
  <c r="A284" i="4"/>
  <c r="G283" i="4"/>
  <c r="A283" i="4"/>
  <c r="G282" i="4"/>
  <c r="A282" i="4"/>
  <c r="G281" i="4"/>
  <c r="A281" i="4"/>
  <c r="G280" i="4"/>
  <c r="A280" i="4"/>
  <c r="G279" i="4"/>
  <c r="A279" i="4"/>
  <c r="G278" i="4"/>
  <c r="A278" i="4"/>
  <c r="G277" i="4"/>
  <c r="A277" i="4"/>
  <c r="G276" i="4"/>
  <c r="A276" i="4"/>
  <c r="G275" i="4"/>
  <c r="A275" i="4"/>
  <c r="G274" i="4"/>
  <c r="A274" i="4"/>
  <c r="G273" i="4"/>
  <c r="A273" i="4"/>
  <c r="G272" i="4"/>
  <c r="A272" i="4"/>
  <c r="G271" i="4"/>
  <c r="A271" i="4"/>
  <c r="G270" i="4"/>
  <c r="A270" i="4"/>
  <c r="G269" i="4"/>
  <c r="A269" i="4"/>
  <c r="G268" i="4"/>
  <c r="A268" i="4"/>
  <c r="G267" i="4"/>
  <c r="A267" i="4"/>
  <c r="G266" i="4"/>
  <c r="A266" i="4"/>
  <c r="G265" i="4"/>
  <c r="A265" i="4"/>
  <c r="G264" i="4"/>
  <c r="A264" i="4"/>
  <c r="G263" i="4"/>
  <c r="A263" i="4"/>
  <c r="G262" i="4"/>
  <c r="A262" i="4"/>
  <c r="G261" i="4"/>
  <c r="A261" i="4"/>
  <c r="G260" i="4"/>
  <c r="A260" i="4"/>
  <c r="G259" i="4"/>
  <c r="A259" i="4"/>
  <c r="G258" i="4"/>
  <c r="A258" i="4"/>
  <c r="G257" i="4"/>
  <c r="A257" i="4"/>
  <c r="G256" i="4"/>
  <c r="A256" i="4"/>
  <c r="G255" i="4"/>
  <c r="A255" i="4"/>
  <c r="G254" i="4"/>
  <c r="A254" i="4"/>
  <c r="G253" i="4"/>
  <c r="A253" i="4"/>
  <c r="G252" i="4"/>
  <c r="A252" i="4"/>
  <c r="G251" i="4"/>
  <c r="A251" i="4"/>
  <c r="G250" i="4"/>
  <c r="A250" i="4"/>
  <c r="G249" i="4"/>
  <c r="A249" i="4"/>
  <c r="G248" i="4"/>
  <c r="A248" i="4"/>
  <c r="G247" i="4"/>
  <c r="A247" i="4"/>
  <c r="G246" i="4"/>
  <c r="A246" i="4"/>
  <c r="G245" i="4"/>
  <c r="A245" i="4"/>
  <c r="G244" i="4"/>
  <c r="A244" i="4"/>
  <c r="G243" i="4"/>
  <c r="A243" i="4"/>
  <c r="G242" i="4"/>
  <c r="A242" i="4"/>
  <c r="G241" i="4"/>
  <c r="A241" i="4"/>
  <c r="G240" i="4"/>
  <c r="A240" i="4"/>
  <c r="G239" i="4"/>
  <c r="A239" i="4"/>
  <c r="G238" i="4"/>
  <c r="A238" i="4"/>
  <c r="G237" i="4"/>
  <c r="A237" i="4"/>
  <c r="G236" i="4"/>
  <c r="A236" i="4"/>
  <c r="G235" i="4"/>
  <c r="A235" i="4"/>
  <c r="G234" i="4"/>
  <c r="A234" i="4"/>
  <c r="G233" i="4"/>
  <c r="A233" i="4"/>
  <c r="G232" i="4"/>
  <c r="A232" i="4"/>
  <c r="G231" i="4"/>
  <c r="A231" i="4"/>
  <c r="G230" i="4"/>
  <c r="A230" i="4"/>
  <c r="G229" i="4"/>
  <c r="A229" i="4"/>
  <c r="G228" i="4"/>
  <c r="A228" i="4"/>
  <c r="G227" i="4"/>
  <c r="A227" i="4"/>
  <c r="G226" i="4"/>
  <c r="A226" i="4"/>
  <c r="G225" i="4"/>
  <c r="A225" i="4"/>
  <c r="G224" i="4"/>
  <c r="A224" i="4"/>
  <c r="G223" i="4"/>
  <c r="A223" i="4"/>
  <c r="G222" i="4"/>
  <c r="A222" i="4"/>
  <c r="G221" i="4"/>
  <c r="A221" i="4"/>
  <c r="G220" i="4"/>
  <c r="A220" i="4"/>
  <c r="G219" i="4"/>
  <c r="A219" i="4"/>
  <c r="G218" i="4"/>
  <c r="A218" i="4"/>
  <c r="G217" i="4"/>
  <c r="A217" i="4"/>
  <c r="G216" i="4"/>
  <c r="A216" i="4"/>
  <c r="G215" i="4"/>
  <c r="A215" i="4"/>
  <c r="G214" i="4"/>
  <c r="A214" i="4"/>
  <c r="G213" i="4"/>
  <c r="A213" i="4"/>
  <c r="G212" i="4"/>
  <c r="A212" i="4"/>
  <c r="G211" i="4"/>
  <c r="A211" i="4"/>
  <c r="G210" i="4"/>
  <c r="A210" i="4"/>
  <c r="G209" i="4"/>
  <c r="A209" i="4"/>
  <c r="G208" i="4"/>
  <c r="A208" i="4"/>
  <c r="G207" i="4"/>
  <c r="A207" i="4"/>
  <c r="G206" i="4"/>
  <c r="A206" i="4"/>
  <c r="G205" i="4"/>
  <c r="A205" i="4"/>
  <c r="G204" i="4"/>
  <c r="A204" i="4"/>
  <c r="G203" i="4"/>
  <c r="A203" i="4"/>
  <c r="G202" i="4"/>
  <c r="A202" i="4"/>
  <c r="G201" i="4"/>
  <c r="A201" i="4"/>
  <c r="G200" i="4"/>
  <c r="A200" i="4"/>
  <c r="G199" i="4"/>
  <c r="A199" i="4"/>
  <c r="G198" i="4"/>
  <c r="A198" i="4"/>
  <c r="G197" i="4"/>
  <c r="A197" i="4"/>
  <c r="G196" i="4"/>
  <c r="A196" i="4"/>
  <c r="G195" i="4"/>
  <c r="A195" i="4"/>
  <c r="G194" i="4"/>
  <c r="A194" i="4"/>
  <c r="G193" i="4"/>
  <c r="A193" i="4"/>
  <c r="G192" i="4"/>
  <c r="A192" i="4"/>
  <c r="G191" i="4"/>
  <c r="A191" i="4"/>
  <c r="G190" i="4"/>
  <c r="A190" i="4"/>
  <c r="G189" i="4"/>
  <c r="A189" i="4"/>
  <c r="G188" i="4"/>
  <c r="A188" i="4"/>
  <c r="G187" i="4"/>
  <c r="A187" i="4"/>
  <c r="G186" i="4"/>
  <c r="A186" i="4"/>
  <c r="G185" i="4"/>
  <c r="A185" i="4"/>
  <c r="G184" i="4"/>
  <c r="A184" i="4"/>
  <c r="G183" i="4"/>
  <c r="A183" i="4"/>
  <c r="G182" i="4"/>
  <c r="A182" i="4"/>
  <c r="G181" i="4"/>
  <c r="A181" i="4"/>
  <c r="G180" i="4"/>
  <c r="A180" i="4"/>
  <c r="G179" i="4"/>
  <c r="A179" i="4"/>
  <c r="G178" i="4"/>
  <c r="A178" i="4"/>
  <c r="G177" i="4"/>
  <c r="A177" i="4"/>
  <c r="G176" i="4"/>
  <c r="A176" i="4"/>
  <c r="G175" i="4"/>
  <c r="A175" i="4"/>
  <c r="G174" i="4"/>
  <c r="A174" i="4"/>
  <c r="G173" i="4"/>
  <c r="A173" i="4"/>
  <c r="G172" i="4"/>
  <c r="A172" i="4"/>
  <c r="G171" i="4"/>
  <c r="A171" i="4"/>
  <c r="G170" i="4"/>
  <c r="A170" i="4"/>
  <c r="G169" i="4"/>
  <c r="A169" i="4"/>
  <c r="G168" i="4"/>
  <c r="A168" i="4"/>
  <c r="G167" i="4"/>
  <c r="A167" i="4"/>
  <c r="G166" i="4"/>
  <c r="A166" i="4"/>
  <c r="G165" i="4"/>
  <c r="A165" i="4"/>
  <c r="G164" i="4"/>
  <c r="A164" i="4"/>
  <c r="G163" i="4"/>
  <c r="A163" i="4"/>
  <c r="G162" i="4"/>
  <c r="A162" i="4"/>
  <c r="G161" i="4"/>
  <c r="A161" i="4"/>
  <c r="G160" i="4"/>
  <c r="A160" i="4"/>
  <c r="G159" i="4"/>
  <c r="A159" i="4"/>
  <c r="G158" i="4"/>
  <c r="A158" i="4"/>
  <c r="G157" i="4"/>
  <c r="A157" i="4"/>
  <c r="G156" i="4"/>
  <c r="A156" i="4"/>
  <c r="G155" i="4"/>
  <c r="A155" i="4"/>
  <c r="G154" i="4"/>
  <c r="A154" i="4"/>
  <c r="G153" i="4"/>
  <c r="A153" i="4"/>
  <c r="G152" i="4"/>
  <c r="A152" i="4"/>
  <c r="G151" i="4"/>
  <c r="A151" i="4"/>
  <c r="G150" i="4"/>
  <c r="A150" i="4"/>
  <c r="G149" i="4"/>
  <c r="A149" i="4"/>
  <c r="G148" i="4"/>
  <c r="A148" i="4"/>
  <c r="G147" i="4"/>
  <c r="A147" i="4"/>
  <c r="G146" i="4"/>
  <c r="A146" i="4"/>
  <c r="G145" i="4"/>
  <c r="A145" i="4"/>
  <c r="G144" i="4"/>
  <c r="A144" i="4"/>
  <c r="G143" i="4"/>
  <c r="A143" i="4"/>
  <c r="G142" i="4"/>
  <c r="A142" i="4"/>
  <c r="G141" i="4"/>
  <c r="A141" i="4"/>
  <c r="G140" i="4"/>
  <c r="A140" i="4"/>
  <c r="G139" i="4"/>
  <c r="A139" i="4"/>
  <c r="G138" i="4"/>
  <c r="A138" i="4"/>
  <c r="G137" i="4"/>
  <c r="A137" i="4"/>
  <c r="G136" i="4"/>
  <c r="A136" i="4"/>
  <c r="G135" i="4"/>
  <c r="A135" i="4"/>
  <c r="G134" i="4"/>
  <c r="A134" i="4"/>
  <c r="G133" i="4"/>
  <c r="A133" i="4"/>
  <c r="G132" i="4"/>
  <c r="A132" i="4"/>
  <c r="G131" i="4"/>
  <c r="A131" i="4"/>
  <c r="G130" i="4"/>
  <c r="A130" i="4"/>
  <c r="G129" i="4"/>
  <c r="A129" i="4"/>
  <c r="G128" i="4"/>
  <c r="A128" i="4"/>
  <c r="G127" i="4"/>
  <c r="A127" i="4"/>
  <c r="G126" i="4"/>
  <c r="A126" i="4"/>
  <c r="G125" i="4"/>
  <c r="A125" i="4"/>
  <c r="G124" i="4"/>
  <c r="A124" i="4"/>
  <c r="G123" i="4"/>
  <c r="A123" i="4"/>
  <c r="G122" i="4"/>
  <c r="A122" i="4"/>
  <c r="G121" i="4"/>
  <c r="A121" i="4"/>
  <c r="G120" i="4"/>
  <c r="A120" i="4"/>
  <c r="G119" i="4"/>
  <c r="A119" i="4"/>
  <c r="G118" i="4"/>
  <c r="A118" i="4"/>
  <c r="G117" i="4"/>
  <c r="A117" i="4"/>
  <c r="G116" i="4"/>
  <c r="A116" i="4"/>
  <c r="G115" i="4"/>
  <c r="A115" i="4"/>
  <c r="G114" i="4"/>
  <c r="A114" i="4"/>
  <c r="G113" i="4"/>
  <c r="A113" i="4"/>
  <c r="G112" i="4"/>
  <c r="A112" i="4"/>
  <c r="G111" i="4"/>
  <c r="A111" i="4"/>
  <c r="G110" i="4"/>
  <c r="A110" i="4"/>
  <c r="G109" i="4"/>
  <c r="A109" i="4"/>
  <c r="G108" i="4"/>
  <c r="A108" i="4"/>
  <c r="G107" i="4"/>
  <c r="A107" i="4"/>
  <c r="G106" i="4"/>
  <c r="A106" i="4"/>
  <c r="G105" i="4"/>
  <c r="A105" i="4"/>
  <c r="G104" i="4"/>
  <c r="A104" i="4"/>
  <c r="G103" i="4"/>
  <c r="A103" i="4"/>
  <c r="G102" i="4"/>
  <c r="A102" i="4"/>
  <c r="G101" i="4"/>
  <c r="A101" i="4"/>
  <c r="G100" i="4"/>
  <c r="A100" i="4"/>
  <c r="G99" i="4"/>
  <c r="A99" i="4"/>
  <c r="G98" i="4"/>
  <c r="A98" i="4"/>
  <c r="G97" i="4"/>
  <c r="A97" i="4"/>
  <c r="G96" i="4"/>
  <c r="A96" i="4"/>
  <c r="G95" i="4"/>
  <c r="A95" i="4"/>
  <c r="G94" i="4"/>
  <c r="A94" i="4"/>
  <c r="G93" i="4"/>
  <c r="A93" i="4"/>
  <c r="G92" i="4"/>
  <c r="A92" i="4"/>
  <c r="G91" i="4"/>
  <c r="A91" i="4"/>
  <c r="G90" i="4"/>
  <c r="A90" i="4"/>
  <c r="G89" i="4"/>
  <c r="A89" i="4"/>
  <c r="G88" i="4"/>
  <c r="A88" i="4"/>
  <c r="G87" i="4"/>
  <c r="A87" i="4"/>
  <c r="G86" i="4"/>
  <c r="A86" i="4"/>
  <c r="G85" i="4"/>
  <c r="A85" i="4"/>
  <c r="G84" i="4"/>
  <c r="A84" i="4"/>
  <c r="G83" i="4"/>
  <c r="A83" i="4"/>
  <c r="G82" i="4"/>
  <c r="A82" i="4"/>
  <c r="G81" i="4"/>
  <c r="A81" i="4"/>
  <c r="G80" i="4"/>
  <c r="A80" i="4"/>
  <c r="G79" i="4"/>
  <c r="A79" i="4"/>
  <c r="G78" i="4"/>
  <c r="A78" i="4"/>
  <c r="G77" i="4"/>
  <c r="A77" i="4"/>
  <c r="G76" i="4"/>
  <c r="A76" i="4"/>
  <c r="G75" i="4"/>
  <c r="A75" i="4"/>
  <c r="G74" i="4"/>
  <c r="A74" i="4"/>
  <c r="G73" i="4"/>
  <c r="A73" i="4"/>
  <c r="G72" i="4"/>
  <c r="A72" i="4"/>
  <c r="G71" i="4"/>
  <c r="A71" i="4"/>
  <c r="G70" i="4"/>
  <c r="A70" i="4"/>
  <c r="G69" i="4"/>
  <c r="A69" i="4"/>
  <c r="G68" i="4"/>
  <c r="A68" i="4"/>
  <c r="G67" i="4"/>
  <c r="A67" i="4"/>
  <c r="G66" i="4"/>
  <c r="A66" i="4"/>
  <c r="G65" i="4"/>
  <c r="A65" i="4"/>
  <c r="G64" i="4"/>
  <c r="A64" i="4"/>
  <c r="G63" i="4"/>
  <c r="A63" i="4"/>
  <c r="G62" i="4"/>
  <c r="A62" i="4"/>
  <c r="G61" i="4"/>
  <c r="A61" i="4"/>
  <c r="G60" i="4"/>
  <c r="A60" i="4"/>
  <c r="G59" i="4"/>
  <c r="A59" i="4"/>
  <c r="G58" i="4"/>
  <c r="A58" i="4"/>
  <c r="G57" i="4"/>
  <c r="A57" i="4"/>
  <c r="G56" i="4"/>
  <c r="A56" i="4"/>
  <c r="G55" i="4"/>
  <c r="A55" i="4"/>
  <c r="G54" i="4"/>
  <c r="A54" i="4"/>
  <c r="G53" i="4"/>
  <c r="A53" i="4"/>
  <c r="G52" i="4"/>
  <c r="A52" i="4"/>
  <c r="G51" i="4"/>
  <c r="A51" i="4"/>
  <c r="G50" i="4"/>
  <c r="A50" i="4"/>
  <c r="G49" i="4"/>
  <c r="A49" i="4"/>
  <c r="G48" i="4"/>
  <c r="A48" i="4"/>
  <c r="G47" i="4"/>
  <c r="A47" i="4"/>
  <c r="G46" i="4"/>
  <c r="A46" i="4"/>
  <c r="G45" i="4"/>
  <c r="A45" i="4"/>
  <c r="G44" i="4"/>
  <c r="A44" i="4"/>
  <c r="G43" i="4"/>
  <c r="A43" i="4"/>
  <c r="G42" i="4"/>
  <c r="A42" i="4"/>
  <c r="G41" i="4"/>
  <c r="A41" i="4"/>
  <c r="G40" i="4"/>
  <c r="A40" i="4"/>
  <c r="G39" i="4"/>
  <c r="A39" i="4"/>
  <c r="G38" i="4"/>
  <c r="A38" i="4"/>
  <c r="G37" i="4"/>
  <c r="A37" i="4"/>
  <c r="G36" i="4"/>
  <c r="A36" i="4"/>
  <c r="G35" i="4"/>
  <c r="A35" i="4"/>
  <c r="G34" i="4"/>
  <c r="A34" i="4"/>
  <c r="G33" i="4"/>
  <c r="A33" i="4"/>
  <c r="G32" i="4"/>
  <c r="A32" i="4"/>
  <c r="G31" i="4"/>
  <c r="A31" i="4"/>
  <c r="G30" i="4"/>
  <c r="A30" i="4"/>
  <c r="G29" i="4"/>
  <c r="A29" i="4"/>
  <c r="G28" i="4"/>
  <c r="A28" i="4"/>
  <c r="G27" i="4"/>
  <c r="A27" i="4"/>
  <c r="G26" i="4"/>
  <c r="A26" i="4"/>
  <c r="G25" i="4"/>
  <c r="A25" i="4"/>
  <c r="G24" i="4"/>
  <c r="A24" i="4"/>
  <c r="G23" i="4"/>
  <c r="A23" i="4"/>
  <c r="G22" i="4"/>
  <c r="A22" i="4"/>
  <c r="G21" i="4"/>
  <c r="A21" i="4"/>
  <c r="G20" i="4"/>
  <c r="A20" i="4"/>
  <c r="G19" i="4"/>
  <c r="A19" i="4"/>
  <c r="G18" i="4"/>
  <c r="A18" i="4"/>
  <c r="G17" i="4"/>
  <c r="A17" i="4"/>
  <c r="G16" i="4"/>
  <c r="A16" i="4"/>
  <c r="G15" i="4"/>
  <c r="A15" i="4"/>
  <c r="G14" i="4"/>
  <c r="A14" i="4"/>
  <c r="G13" i="4"/>
  <c r="A13" i="4"/>
  <c r="G12" i="4"/>
  <c r="A12" i="4"/>
  <c r="G11" i="4"/>
  <c r="A11" i="4"/>
  <c r="G10" i="4"/>
  <c r="A10" i="4"/>
  <c r="G9" i="4"/>
  <c r="A9" i="4"/>
  <c r="G8" i="4"/>
  <c r="A8" i="4"/>
  <c r="G7" i="4"/>
  <c r="A7" i="4"/>
  <c r="G6" i="4"/>
  <c r="G5" i="4"/>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B8" i="1"/>
  <c r="B7" i="1"/>
  <c r="B6" i="1"/>
  <c r="B5" i="1"/>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8" authorId="0" shapeId="0" xr:uid="{00000000-0006-0000-0000-000001000000}">
      <text>
        <r>
          <rPr>
            <sz val="11"/>
            <color theme="1"/>
            <rFont val="Calibri"/>
            <family val="2"/>
            <scheme val="minor"/>
          </rPr>
          <t>Cash balance includes member contributions and separately recorded chit repayments, less payouts.</t>
        </r>
      </text>
    </comment>
    <comment ref="B8" authorId="0" shapeId="0" xr:uid="{00000000-0006-0000-0000-000002000000}">
      <text>
        <r>
          <rPr>
            <sz val="11"/>
            <color theme="1"/>
            <rFont val="Calibri"/>
            <family val="2"/>
            <scheme val="minor"/>
          </rPr>
          <t>Total account balance = all actual member payments + actual chit repayments received - actual payouts. Do not count expected repayments as cash.</t>
        </r>
      </text>
    </comment>
    <comment ref="A9" authorId="0" shapeId="0" xr:uid="{00000000-0006-0000-0000-000003000000}">
      <text>
        <r>
          <rPr>
            <sz val="11"/>
            <color theme="1"/>
            <rFont val="Calibri"/>
            <family val="2"/>
            <scheme val="minor"/>
          </rPr>
          <t>This total uses the interest-inclusive amount from Monthly Chit and decreases when a Member Payment row has an Amount Paid value and its Payment Status is manually set to PAID.</t>
        </r>
      </text>
    </comment>
    <comment ref="B9" authorId="0" shapeId="0" xr:uid="{00000000-0006-0000-0000-000004000000}">
      <text>
        <r>
          <rPr>
            <sz val="11"/>
            <color theme="1"/>
            <rFont val="Calibri"/>
            <family val="2"/>
            <scheme val="minor"/>
          </rPr>
          <t>Recovery = total interest-inclusive amount from Monthly Chit minus receipts recorded in Monthly Chit Received minus Member Payment Amount Paid for rows marked PAID. Do not enter the same receipt in both receipt sheets.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C4" authorId="0" shapeId="0" xr:uid="{00000000-0006-0000-0200-000001000000}">
      <text>
        <r>
          <rPr>
            <sz val="11"/>
            <color theme="1"/>
            <rFont val="Calibri"/>
            <family val="2"/>
            <scheme val="minor"/>
          </rPr>
          <t>Enter only the repayment amount actually received from the chit winner. This amount is added to the Dashboard balance.</t>
        </r>
      </text>
    </comment>
    <comment ref="D4" authorId="0" shapeId="0" xr:uid="{00000000-0006-0000-0200-000002000000}">
      <text>
        <r>
          <rPr>
            <sz val="11"/>
            <color theme="1"/>
            <rFont val="Calibri"/>
            <family val="2"/>
            <scheme val="minor"/>
          </rPr>
          <t>This column is restricted to ALL as requested. Select ALL for combined/group receipts.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C4" authorId="0" shapeId="0" xr:uid="{00000000-0006-0000-0300-000001000000}">
      <text>
        <r>
          <rPr>
            <sz val="11"/>
            <color theme="1"/>
            <rFont val="Calibri"/>
            <family val="2"/>
            <scheme val="minor"/>
          </rPr>
          <t>Enter the actual cash amount paid out to the chit winner. This amount is deducted from Total Account Balance.</t>
        </r>
      </text>
    </comment>
    <comment ref="D4" authorId="0" shapeId="0" xr:uid="{00000000-0006-0000-0300-000002000000}">
      <text>
        <r>
          <rPr>
            <sz val="11"/>
            <color theme="1"/>
            <rFont val="Calibri"/>
            <family val="2"/>
            <scheme val="minor"/>
          </rPr>
          <t>Enter the total amount the winner is expected to repay including interest. This is an obligation, not cash received, so it is not added to the dashboard balance until actually paid.</t>
        </r>
      </text>
    </comment>
    <comment ref="E4" authorId="0" shapeId="0" xr:uid="{00000000-0006-0000-0300-000003000000}">
      <text>
        <r>
          <rPr>
            <sz val="11"/>
            <color theme="1"/>
            <rFont val="Calibri"/>
            <family val="2"/>
            <scheme val="minor"/>
          </rPr>
          <t>Enter the amount due from the winner next month. Record actual money received in Member Payment &gt; Amount Paid.</t>
        </r>
      </text>
    </comment>
    <comment ref="G4" authorId="0" shapeId="0" xr:uid="{00000000-0006-0000-0300-000004000000}">
      <text>
        <r>
          <rPr>
            <sz val="11"/>
            <color theme="1"/>
            <rFont val="Calibri"/>
            <family val="2"/>
            <scheme val="minor"/>
          </rPr>
          <t>Defaults to UNPAID when a Date is entered. Change to PAID when the full amount due has been received.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D4" authorId="0" shapeId="0" xr:uid="{00000000-0006-0000-0400-000001000000}">
      <text>
        <r>
          <rPr>
            <sz val="11"/>
            <color theme="1"/>
            <rFont val="Calibri"/>
            <family val="2"/>
            <scheme val="minor"/>
          </rPr>
          <t>Enter all actual money received from this member for the month. If the winner repays an amount including interest, include the amount actually received here so the dashboard balance increases.</t>
        </r>
      </text>
    </comment>
    <comment ref="E4" authorId="0" shapeId="0" xr:uid="{00000000-0006-0000-0400-000002000000}">
      <text>
        <r>
          <rPr>
            <sz val="11"/>
            <color theme="1"/>
            <rFont val="Calibri"/>
            <family val="2"/>
            <scheme val="minor"/>
          </rPr>
          <t>Calculated as the member's monthly contribution plus the previous month's outstanding, minus this month's payment. The formula uses ₹500 per month based on the member register. Interest or extra winner repayments should be included in Amount Paid when received.</t>
        </r>
      </text>
    </comment>
    <comment ref="F4" authorId="0" shapeId="0" xr:uid="{00000000-0006-0000-0400-000003000000}">
      <text>
        <r>
          <rPr>
            <sz val="11"/>
            <color theme="1"/>
            <rFont val="Calibri"/>
            <family val="2"/>
            <scheme val="minor"/>
          </rPr>
          <t>Manually select PAID or UNPAID. This status is used when calculating the outstanding recovery amount.</t>
        </r>
      </text>
    </comment>
    <comment ref="E5" authorId="0" shapeId="0" xr:uid="{00000000-0006-0000-0400-00000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 authorId="0" shapeId="0" xr:uid="{00000000-0006-0000-0400-00000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 authorId="0" shapeId="0" xr:uid="{00000000-0006-0000-0400-00000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 authorId="0" shapeId="0" xr:uid="{00000000-0006-0000-0400-00000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 authorId="0" shapeId="0" xr:uid="{00000000-0006-0000-0400-00000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0" authorId="0" shapeId="0" xr:uid="{00000000-0006-0000-0400-00000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1" authorId="0" shapeId="0" xr:uid="{00000000-0006-0000-0400-00000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2" authorId="0" shapeId="0" xr:uid="{00000000-0006-0000-0400-00001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3" authorId="0" shapeId="0" xr:uid="{00000000-0006-0000-0400-00001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4" authorId="0" shapeId="0" xr:uid="{00000000-0006-0000-0400-00001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5" authorId="0" shapeId="0" xr:uid="{00000000-0006-0000-0400-00001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6" authorId="0" shapeId="0" xr:uid="{00000000-0006-0000-0400-00001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7" authorId="0" shapeId="0" xr:uid="{00000000-0006-0000-0400-00001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8" authorId="0" shapeId="0" xr:uid="{00000000-0006-0000-0400-00001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9" authorId="0" shapeId="0" xr:uid="{00000000-0006-0000-0400-00001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0" authorId="0" shapeId="0" xr:uid="{00000000-0006-0000-0400-00001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1" authorId="0" shapeId="0" xr:uid="{00000000-0006-0000-0400-00001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2" authorId="0" shapeId="0" xr:uid="{00000000-0006-0000-0400-00001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3" authorId="0" shapeId="0" xr:uid="{00000000-0006-0000-0400-00001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4" authorId="0" shapeId="0" xr:uid="{00000000-0006-0000-0400-00001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5" authorId="0" shapeId="0" xr:uid="{00000000-0006-0000-0400-00001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6" authorId="0" shapeId="0" xr:uid="{00000000-0006-0000-0400-00001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7" authorId="0" shapeId="0" xr:uid="{00000000-0006-0000-0400-00001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8" authorId="0" shapeId="0" xr:uid="{00000000-0006-0000-0400-00002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9" authorId="0" shapeId="0" xr:uid="{00000000-0006-0000-0400-00002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0" authorId="0" shapeId="0" xr:uid="{00000000-0006-0000-0400-00002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1" authorId="0" shapeId="0" xr:uid="{00000000-0006-0000-0400-00002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2" authorId="0" shapeId="0" xr:uid="{00000000-0006-0000-0400-00002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3" authorId="0" shapeId="0" xr:uid="{00000000-0006-0000-0400-00002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4" authorId="0" shapeId="0" xr:uid="{00000000-0006-0000-0400-00002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5" authorId="0" shapeId="0" xr:uid="{00000000-0006-0000-0400-00002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6" authorId="0" shapeId="0" xr:uid="{00000000-0006-0000-0400-00002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7" authorId="0" shapeId="0" xr:uid="{00000000-0006-0000-0400-00002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8" authorId="0" shapeId="0" xr:uid="{00000000-0006-0000-0400-00002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9" authorId="0" shapeId="0" xr:uid="{00000000-0006-0000-0400-00002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0" authorId="0" shapeId="0" xr:uid="{00000000-0006-0000-0400-00002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1" authorId="0" shapeId="0" xr:uid="{00000000-0006-0000-0400-00002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2" authorId="0" shapeId="0" xr:uid="{00000000-0006-0000-0400-00002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3" authorId="0" shapeId="0" xr:uid="{00000000-0006-0000-0400-00002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4" authorId="0" shapeId="0" xr:uid="{00000000-0006-0000-0400-00003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5" authorId="0" shapeId="0" xr:uid="{00000000-0006-0000-0400-00003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6" authorId="0" shapeId="0" xr:uid="{00000000-0006-0000-0400-00003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7" authorId="0" shapeId="0" xr:uid="{00000000-0006-0000-0400-00003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8" authorId="0" shapeId="0" xr:uid="{00000000-0006-0000-0400-00003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9" authorId="0" shapeId="0" xr:uid="{00000000-0006-0000-0400-00003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0" authorId="0" shapeId="0" xr:uid="{00000000-0006-0000-0400-00003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1" authorId="0" shapeId="0" xr:uid="{00000000-0006-0000-0400-00003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2" authorId="0" shapeId="0" xr:uid="{00000000-0006-0000-0400-00003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3" authorId="0" shapeId="0" xr:uid="{00000000-0006-0000-0400-00003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4" authorId="0" shapeId="0" xr:uid="{00000000-0006-0000-0400-00003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5" authorId="0" shapeId="0" xr:uid="{00000000-0006-0000-0400-00003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6" authorId="0" shapeId="0" xr:uid="{00000000-0006-0000-0400-00003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7" authorId="0" shapeId="0" xr:uid="{00000000-0006-0000-0400-00003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8" authorId="0" shapeId="0" xr:uid="{00000000-0006-0000-0400-00003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9" authorId="0" shapeId="0" xr:uid="{00000000-0006-0000-0400-00003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0" authorId="0" shapeId="0" xr:uid="{00000000-0006-0000-0400-00004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1" authorId="0" shapeId="0" xr:uid="{00000000-0006-0000-0400-00004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2" authorId="0" shapeId="0" xr:uid="{00000000-0006-0000-0400-00004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3" authorId="0" shapeId="0" xr:uid="{00000000-0006-0000-0400-00004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4" authorId="0" shapeId="0" xr:uid="{00000000-0006-0000-0400-00004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5" authorId="0" shapeId="0" xr:uid="{00000000-0006-0000-0400-00004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6" authorId="0" shapeId="0" xr:uid="{00000000-0006-0000-0400-00004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7" authorId="0" shapeId="0" xr:uid="{00000000-0006-0000-0400-00004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8" authorId="0" shapeId="0" xr:uid="{00000000-0006-0000-0400-00004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9" authorId="0" shapeId="0" xr:uid="{00000000-0006-0000-0400-00004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0" authorId="0" shapeId="0" xr:uid="{00000000-0006-0000-0400-00004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1" authorId="0" shapeId="0" xr:uid="{00000000-0006-0000-0400-00004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2" authorId="0" shapeId="0" xr:uid="{00000000-0006-0000-0400-00004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3" authorId="0" shapeId="0" xr:uid="{00000000-0006-0000-0400-00004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4" authorId="0" shapeId="0" xr:uid="{00000000-0006-0000-0400-00004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5" authorId="0" shapeId="0" xr:uid="{00000000-0006-0000-0400-00004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6" authorId="0" shapeId="0" xr:uid="{00000000-0006-0000-0400-00005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7" authorId="0" shapeId="0" xr:uid="{00000000-0006-0000-0400-00005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8" authorId="0" shapeId="0" xr:uid="{00000000-0006-0000-0400-00005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9" authorId="0" shapeId="0" xr:uid="{00000000-0006-0000-0400-00005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0" authorId="0" shapeId="0" xr:uid="{00000000-0006-0000-0400-00005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1" authorId="0" shapeId="0" xr:uid="{00000000-0006-0000-0400-00005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2" authorId="0" shapeId="0" xr:uid="{00000000-0006-0000-0400-00005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3" authorId="0" shapeId="0" xr:uid="{00000000-0006-0000-0400-00005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4" authorId="0" shapeId="0" xr:uid="{00000000-0006-0000-0400-00005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5" authorId="0" shapeId="0" xr:uid="{00000000-0006-0000-0400-00005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6" authorId="0" shapeId="0" xr:uid="{00000000-0006-0000-0400-00005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7" authorId="0" shapeId="0" xr:uid="{00000000-0006-0000-0400-00005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8" authorId="0" shapeId="0" xr:uid="{00000000-0006-0000-0400-00005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9" authorId="0" shapeId="0" xr:uid="{00000000-0006-0000-0400-00005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0" authorId="0" shapeId="0" xr:uid="{00000000-0006-0000-0400-00005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1" authorId="0" shapeId="0" xr:uid="{00000000-0006-0000-0400-00005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2" authorId="0" shapeId="0" xr:uid="{00000000-0006-0000-0400-00006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3" authorId="0" shapeId="0" xr:uid="{00000000-0006-0000-0400-00006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4" authorId="0" shapeId="0" xr:uid="{00000000-0006-0000-0400-00006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5" authorId="0" shapeId="0" xr:uid="{00000000-0006-0000-0400-00006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6" authorId="0" shapeId="0" xr:uid="{00000000-0006-0000-0400-00006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7" authorId="0" shapeId="0" xr:uid="{00000000-0006-0000-0400-00006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8" authorId="0" shapeId="0" xr:uid="{00000000-0006-0000-0400-00006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9" authorId="0" shapeId="0" xr:uid="{00000000-0006-0000-0400-00006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00" authorId="0" shapeId="0" xr:uid="{00000000-0006-0000-0400-00006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01" authorId="0" shapeId="0" xr:uid="{00000000-0006-0000-0400-00006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02" authorId="0" shapeId="0" xr:uid="{00000000-0006-0000-0400-00006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03" authorId="0" shapeId="0" xr:uid="{00000000-0006-0000-0400-00006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04" authorId="0" shapeId="0" xr:uid="{00000000-0006-0000-0400-00006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05" authorId="0" shapeId="0" xr:uid="{00000000-0006-0000-0400-00006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06" authorId="0" shapeId="0" xr:uid="{00000000-0006-0000-0400-00006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07" authorId="0" shapeId="0" xr:uid="{00000000-0006-0000-0400-00006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08" authorId="0" shapeId="0" xr:uid="{00000000-0006-0000-0400-00007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09" authorId="0" shapeId="0" xr:uid="{00000000-0006-0000-0400-00007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10" authorId="0" shapeId="0" xr:uid="{00000000-0006-0000-0400-00007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11" authorId="0" shapeId="0" xr:uid="{00000000-0006-0000-0400-00007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12" authorId="0" shapeId="0" xr:uid="{00000000-0006-0000-0400-00007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13" authorId="0" shapeId="0" xr:uid="{00000000-0006-0000-0400-00007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14" authorId="0" shapeId="0" xr:uid="{00000000-0006-0000-0400-00007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15" authorId="0" shapeId="0" xr:uid="{00000000-0006-0000-0400-00007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16" authorId="0" shapeId="0" xr:uid="{00000000-0006-0000-0400-00007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17" authorId="0" shapeId="0" xr:uid="{00000000-0006-0000-0400-00007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18" authorId="0" shapeId="0" xr:uid="{00000000-0006-0000-0400-00007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19" authorId="0" shapeId="0" xr:uid="{00000000-0006-0000-0400-00007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20" authorId="0" shapeId="0" xr:uid="{00000000-0006-0000-0400-00007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21" authorId="0" shapeId="0" xr:uid="{00000000-0006-0000-0400-00007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22" authorId="0" shapeId="0" xr:uid="{00000000-0006-0000-0400-00007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23" authorId="0" shapeId="0" xr:uid="{00000000-0006-0000-0400-00007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24" authorId="0" shapeId="0" xr:uid="{00000000-0006-0000-0400-00008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25" authorId="0" shapeId="0" xr:uid="{00000000-0006-0000-0400-00008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26" authorId="0" shapeId="0" xr:uid="{00000000-0006-0000-0400-00008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27" authorId="0" shapeId="0" xr:uid="{00000000-0006-0000-0400-00008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28" authorId="0" shapeId="0" xr:uid="{00000000-0006-0000-0400-00008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29" authorId="0" shapeId="0" xr:uid="{00000000-0006-0000-0400-00008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30" authorId="0" shapeId="0" xr:uid="{00000000-0006-0000-0400-00008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31" authorId="0" shapeId="0" xr:uid="{00000000-0006-0000-0400-00008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32" authorId="0" shapeId="0" xr:uid="{00000000-0006-0000-0400-00008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33" authorId="0" shapeId="0" xr:uid="{00000000-0006-0000-0400-00008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34" authorId="0" shapeId="0" xr:uid="{00000000-0006-0000-0400-00008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35" authorId="0" shapeId="0" xr:uid="{00000000-0006-0000-0400-00008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36" authorId="0" shapeId="0" xr:uid="{00000000-0006-0000-0400-00008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37" authorId="0" shapeId="0" xr:uid="{00000000-0006-0000-0400-00008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38" authorId="0" shapeId="0" xr:uid="{00000000-0006-0000-0400-00008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39" authorId="0" shapeId="0" xr:uid="{00000000-0006-0000-0400-00008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40" authorId="0" shapeId="0" xr:uid="{00000000-0006-0000-0400-00009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41" authorId="0" shapeId="0" xr:uid="{00000000-0006-0000-0400-00009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42" authorId="0" shapeId="0" xr:uid="{00000000-0006-0000-0400-00009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43" authorId="0" shapeId="0" xr:uid="{00000000-0006-0000-0400-00009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44" authorId="0" shapeId="0" xr:uid="{00000000-0006-0000-0400-00009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45" authorId="0" shapeId="0" xr:uid="{00000000-0006-0000-0400-00009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46" authorId="0" shapeId="0" xr:uid="{00000000-0006-0000-0400-00009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47" authorId="0" shapeId="0" xr:uid="{00000000-0006-0000-0400-00009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48" authorId="0" shapeId="0" xr:uid="{00000000-0006-0000-0400-00009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49" authorId="0" shapeId="0" xr:uid="{00000000-0006-0000-0400-00009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50" authorId="0" shapeId="0" xr:uid="{00000000-0006-0000-0400-00009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51" authorId="0" shapeId="0" xr:uid="{00000000-0006-0000-0400-00009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52" authorId="0" shapeId="0" xr:uid="{00000000-0006-0000-0400-00009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53" authorId="0" shapeId="0" xr:uid="{00000000-0006-0000-0400-00009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54" authorId="0" shapeId="0" xr:uid="{00000000-0006-0000-0400-00009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55" authorId="0" shapeId="0" xr:uid="{00000000-0006-0000-0400-00009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56" authorId="0" shapeId="0" xr:uid="{00000000-0006-0000-0400-0000A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57" authorId="0" shapeId="0" xr:uid="{00000000-0006-0000-0400-0000A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58" authorId="0" shapeId="0" xr:uid="{00000000-0006-0000-0400-0000A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59" authorId="0" shapeId="0" xr:uid="{00000000-0006-0000-0400-0000A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60" authorId="0" shapeId="0" xr:uid="{00000000-0006-0000-0400-0000A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61" authorId="0" shapeId="0" xr:uid="{00000000-0006-0000-0400-0000A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62" authorId="0" shapeId="0" xr:uid="{00000000-0006-0000-0400-0000A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63" authorId="0" shapeId="0" xr:uid="{00000000-0006-0000-0400-0000A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64" authorId="0" shapeId="0" xr:uid="{00000000-0006-0000-0400-0000A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65" authorId="0" shapeId="0" xr:uid="{00000000-0006-0000-0400-0000A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66" authorId="0" shapeId="0" xr:uid="{00000000-0006-0000-0400-0000A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67" authorId="0" shapeId="0" xr:uid="{00000000-0006-0000-0400-0000A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68" authorId="0" shapeId="0" xr:uid="{00000000-0006-0000-0400-0000A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69" authorId="0" shapeId="0" xr:uid="{00000000-0006-0000-0400-0000A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70" authorId="0" shapeId="0" xr:uid="{00000000-0006-0000-0400-0000A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71" authorId="0" shapeId="0" xr:uid="{00000000-0006-0000-0400-0000A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72" authorId="0" shapeId="0" xr:uid="{00000000-0006-0000-0400-0000B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73" authorId="0" shapeId="0" xr:uid="{00000000-0006-0000-0400-0000B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74" authorId="0" shapeId="0" xr:uid="{00000000-0006-0000-0400-0000B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75" authorId="0" shapeId="0" xr:uid="{00000000-0006-0000-0400-0000B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76" authorId="0" shapeId="0" xr:uid="{00000000-0006-0000-0400-0000B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77" authorId="0" shapeId="0" xr:uid="{00000000-0006-0000-0400-0000B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78" authorId="0" shapeId="0" xr:uid="{00000000-0006-0000-0400-0000B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79" authorId="0" shapeId="0" xr:uid="{00000000-0006-0000-0400-0000B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80" authorId="0" shapeId="0" xr:uid="{00000000-0006-0000-0400-0000B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81" authorId="0" shapeId="0" xr:uid="{00000000-0006-0000-0400-0000B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82" authorId="0" shapeId="0" xr:uid="{00000000-0006-0000-0400-0000B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83" authorId="0" shapeId="0" xr:uid="{00000000-0006-0000-0400-0000B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84" authorId="0" shapeId="0" xr:uid="{00000000-0006-0000-0400-0000B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85" authorId="0" shapeId="0" xr:uid="{00000000-0006-0000-0400-0000B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86" authorId="0" shapeId="0" xr:uid="{00000000-0006-0000-0400-0000B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87" authorId="0" shapeId="0" xr:uid="{00000000-0006-0000-0400-0000B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88" authorId="0" shapeId="0" xr:uid="{00000000-0006-0000-0400-0000C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89" authorId="0" shapeId="0" xr:uid="{00000000-0006-0000-0400-0000C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90" authorId="0" shapeId="0" xr:uid="{00000000-0006-0000-0400-0000C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91" authorId="0" shapeId="0" xr:uid="{00000000-0006-0000-0400-0000C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92" authorId="0" shapeId="0" xr:uid="{00000000-0006-0000-0400-0000C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93" authorId="0" shapeId="0" xr:uid="{00000000-0006-0000-0400-0000C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94" authorId="0" shapeId="0" xr:uid="{00000000-0006-0000-0400-0000C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95" authorId="0" shapeId="0" xr:uid="{00000000-0006-0000-0400-0000C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96" authorId="0" shapeId="0" xr:uid="{00000000-0006-0000-0400-0000C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97" authorId="0" shapeId="0" xr:uid="{00000000-0006-0000-0400-0000C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98" authorId="0" shapeId="0" xr:uid="{00000000-0006-0000-0400-0000C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199" authorId="0" shapeId="0" xr:uid="{00000000-0006-0000-0400-0000C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00" authorId="0" shapeId="0" xr:uid="{00000000-0006-0000-0400-0000C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01" authorId="0" shapeId="0" xr:uid="{00000000-0006-0000-0400-0000C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02" authorId="0" shapeId="0" xr:uid="{00000000-0006-0000-0400-0000C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03" authorId="0" shapeId="0" xr:uid="{00000000-0006-0000-0400-0000C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04" authorId="0" shapeId="0" xr:uid="{00000000-0006-0000-0400-0000D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05" authorId="0" shapeId="0" xr:uid="{00000000-0006-0000-0400-0000D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06" authorId="0" shapeId="0" xr:uid="{00000000-0006-0000-0400-0000D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07" authorId="0" shapeId="0" xr:uid="{00000000-0006-0000-0400-0000D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08" authorId="0" shapeId="0" xr:uid="{00000000-0006-0000-0400-0000D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09" authorId="0" shapeId="0" xr:uid="{00000000-0006-0000-0400-0000D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10" authorId="0" shapeId="0" xr:uid="{00000000-0006-0000-0400-0000D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11" authorId="0" shapeId="0" xr:uid="{00000000-0006-0000-0400-0000D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12" authorId="0" shapeId="0" xr:uid="{00000000-0006-0000-0400-0000D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13" authorId="0" shapeId="0" xr:uid="{00000000-0006-0000-0400-0000D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14" authorId="0" shapeId="0" xr:uid="{00000000-0006-0000-0400-0000D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15" authorId="0" shapeId="0" xr:uid="{00000000-0006-0000-0400-0000D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16" authorId="0" shapeId="0" xr:uid="{00000000-0006-0000-0400-0000D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17" authorId="0" shapeId="0" xr:uid="{00000000-0006-0000-0400-0000D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18" authorId="0" shapeId="0" xr:uid="{00000000-0006-0000-0400-0000D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19" authorId="0" shapeId="0" xr:uid="{00000000-0006-0000-0400-0000D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20" authorId="0" shapeId="0" xr:uid="{00000000-0006-0000-0400-0000E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21" authorId="0" shapeId="0" xr:uid="{00000000-0006-0000-0400-0000E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22" authorId="0" shapeId="0" xr:uid="{00000000-0006-0000-0400-0000E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23" authorId="0" shapeId="0" xr:uid="{00000000-0006-0000-0400-0000E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24" authorId="0" shapeId="0" xr:uid="{00000000-0006-0000-0400-0000E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25" authorId="0" shapeId="0" xr:uid="{00000000-0006-0000-0400-0000E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26" authorId="0" shapeId="0" xr:uid="{00000000-0006-0000-0400-0000E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27" authorId="0" shapeId="0" xr:uid="{00000000-0006-0000-0400-0000E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28" authorId="0" shapeId="0" xr:uid="{00000000-0006-0000-0400-0000E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29" authorId="0" shapeId="0" xr:uid="{00000000-0006-0000-0400-0000E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30" authorId="0" shapeId="0" xr:uid="{00000000-0006-0000-0400-0000E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31" authorId="0" shapeId="0" xr:uid="{00000000-0006-0000-0400-0000E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32" authorId="0" shapeId="0" xr:uid="{00000000-0006-0000-0400-0000E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33" authorId="0" shapeId="0" xr:uid="{00000000-0006-0000-0400-0000E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34" authorId="0" shapeId="0" xr:uid="{00000000-0006-0000-0400-0000E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35" authorId="0" shapeId="0" xr:uid="{00000000-0006-0000-0400-0000E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36" authorId="0" shapeId="0" xr:uid="{00000000-0006-0000-0400-0000F0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37" authorId="0" shapeId="0" xr:uid="{00000000-0006-0000-0400-0000F1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38" authorId="0" shapeId="0" xr:uid="{00000000-0006-0000-0400-0000F2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39" authorId="0" shapeId="0" xr:uid="{00000000-0006-0000-0400-0000F3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40" authorId="0" shapeId="0" xr:uid="{00000000-0006-0000-0400-0000F4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41" authorId="0" shapeId="0" xr:uid="{00000000-0006-0000-0400-0000F5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42" authorId="0" shapeId="0" xr:uid="{00000000-0006-0000-0400-0000F6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43" authorId="0" shapeId="0" xr:uid="{00000000-0006-0000-0400-0000F7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44" authorId="0" shapeId="0" xr:uid="{00000000-0006-0000-0400-0000F8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45" authorId="0" shapeId="0" xr:uid="{00000000-0006-0000-0400-0000F9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46" authorId="0" shapeId="0" xr:uid="{00000000-0006-0000-0400-0000FA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47" authorId="0" shapeId="0" xr:uid="{00000000-0006-0000-0400-0000FB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48" authorId="0" shapeId="0" xr:uid="{00000000-0006-0000-0400-0000FC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49" authorId="0" shapeId="0" xr:uid="{00000000-0006-0000-0400-0000FD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50" authorId="0" shapeId="0" xr:uid="{00000000-0006-0000-0400-0000FE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51" authorId="0" shapeId="0" xr:uid="{00000000-0006-0000-0400-0000FF00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52" authorId="0" shapeId="0" xr:uid="{00000000-0006-0000-0400-00000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53" authorId="0" shapeId="0" xr:uid="{00000000-0006-0000-0400-00000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54" authorId="0" shapeId="0" xr:uid="{00000000-0006-0000-0400-00000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55" authorId="0" shapeId="0" xr:uid="{00000000-0006-0000-0400-00000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56" authorId="0" shapeId="0" xr:uid="{00000000-0006-0000-0400-00000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57" authorId="0" shapeId="0" xr:uid="{00000000-0006-0000-0400-00000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58" authorId="0" shapeId="0" xr:uid="{00000000-0006-0000-0400-00000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59" authorId="0" shapeId="0" xr:uid="{00000000-0006-0000-0400-00000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60" authorId="0" shapeId="0" xr:uid="{00000000-0006-0000-0400-00000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61" authorId="0" shapeId="0" xr:uid="{00000000-0006-0000-0400-00000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62" authorId="0" shapeId="0" xr:uid="{00000000-0006-0000-0400-00000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63" authorId="0" shapeId="0" xr:uid="{00000000-0006-0000-0400-00000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64" authorId="0" shapeId="0" xr:uid="{00000000-0006-0000-0400-00000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65" authorId="0" shapeId="0" xr:uid="{00000000-0006-0000-0400-00000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66" authorId="0" shapeId="0" xr:uid="{00000000-0006-0000-0400-00000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67" authorId="0" shapeId="0" xr:uid="{00000000-0006-0000-0400-00000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68" authorId="0" shapeId="0" xr:uid="{00000000-0006-0000-0400-00001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69" authorId="0" shapeId="0" xr:uid="{00000000-0006-0000-0400-00001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70" authorId="0" shapeId="0" xr:uid="{00000000-0006-0000-0400-00001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71" authorId="0" shapeId="0" xr:uid="{00000000-0006-0000-0400-00001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72" authorId="0" shapeId="0" xr:uid="{00000000-0006-0000-0400-00001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73" authorId="0" shapeId="0" xr:uid="{00000000-0006-0000-0400-00001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74" authorId="0" shapeId="0" xr:uid="{00000000-0006-0000-0400-00001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75" authorId="0" shapeId="0" xr:uid="{00000000-0006-0000-0400-00001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76" authorId="0" shapeId="0" xr:uid="{00000000-0006-0000-0400-00001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77" authorId="0" shapeId="0" xr:uid="{00000000-0006-0000-0400-00001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78" authorId="0" shapeId="0" xr:uid="{00000000-0006-0000-0400-00001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79" authorId="0" shapeId="0" xr:uid="{00000000-0006-0000-0400-00001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80" authorId="0" shapeId="0" xr:uid="{00000000-0006-0000-0400-00001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81" authorId="0" shapeId="0" xr:uid="{00000000-0006-0000-0400-00001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82" authorId="0" shapeId="0" xr:uid="{00000000-0006-0000-0400-00001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83" authorId="0" shapeId="0" xr:uid="{00000000-0006-0000-0400-00001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84" authorId="0" shapeId="0" xr:uid="{00000000-0006-0000-0400-00002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85" authorId="0" shapeId="0" xr:uid="{00000000-0006-0000-0400-00002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86" authorId="0" shapeId="0" xr:uid="{00000000-0006-0000-0400-00002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87" authorId="0" shapeId="0" xr:uid="{00000000-0006-0000-0400-00002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88" authorId="0" shapeId="0" xr:uid="{00000000-0006-0000-0400-00002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89" authorId="0" shapeId="0" xr:uid="{00000000-0006-0000-0400-00002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90" authorId="0" shapeId="0" xr:uid="{00000000-0006-0000-0400-00002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91" authorId="0" shapeId="0" xr:uid="{00000000-0006-0000-0400-00002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92" authorId="0" shapeId="0" xr:uid="{00000000-0006-0000-0400-00002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93" authorId="0" shapeId="0" xr:uid="{00000000-0006-0000-0400-00002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94" authorId="0" shapeId="0" xr:uid="{00000000-0006-0000-0400-00002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95" authorId="0" shapeId="0" xr:uid="{00000000-0006-0000-0400-00002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96" authorId="0" shapeId="0" xr:uid="{00000000-0006-0000-0400-00002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97" authorId="0" shapeId="0" xr:uid="{00000000-0006-0000-0400-00002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98" authorId="0" shapeId="0" xr:uid="{00000000-0006-0000-0400-00002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299" authorId="0" shapeId="0" xr:uid="{00000000-0006-0000-0400-00002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00" authorId="0" shapeId="0" xr:uid="{00000000-0006-0000-0400-00003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01" authorId="0" shapeId="0" xr:uid="{00000000-0006-0000-0400-00003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02" authorId="0" shapeId="0" xr:uid="{00000000-0006-0000-0400-00003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03" authorId="0" shapeId="0" xr:uid="{00000000-0006-0000-0400-00003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04" authorId="0" shapeId="0" xr:uid="{00000000-0006-0000-0400-00003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05" authorId="0" shapeId="0" xr:uid="{00000000-0006-0000-0400-00003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06" authorId="0" shapeId="0" xr:uid="{00000000-0006-0000-0400-00003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07" authorId="0" shapeId="0" xr:uid="{00000000-0006-0000-0400-00003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08" authorId="0" shapeId="0" xr:uid="{00000000-0006-0000-0400-00003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09" authorId="0" shapeId="0" xr:uid="{00000000-0006-0000-0400-00003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10" authorId="0" shapeId="0" xr:uid="{00000000-0006-0000-0400-00003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11" authorId="0" shapeId="0" xr:uid="{00000000-0006-0000-0400-00003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12" authorId="0" shapeId="0" xr:uid="{00000000-0006-0000-0400-00003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13" authorId="0" shapeId="0" xr:uid="{00000000-0006-0000-0400-00003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14" authorId="0" shapeId="0" xr:uid="{00000000-0006-0000-0400-00003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15" authorId="0" shapeId="0" xr:uid="{00000000-0006-0000-0400-00003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16" authorId="0" shapeId="0" xr:uid="{00000000-0006-0000-0400-00004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17" authorId="0" shapeId="0" xr:uid="{00000000-0006-0000-0400-00004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18" authorId="0" shapeId="0" xr:uid="{00000000-0006-0000-0400-00004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19" authorId="0" shapeId="0" xr:uid="{00000000-0006-0000-0400-00004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20" authorId="0" shapeId="0" xr:uid="{00000000-0006-0000-0400-00004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21" authorId="0" shapeId="0" xr:uid="{00000000-0006-0000-0400-00004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22" authorId="0" shapeId="0" xr:uid="{00000000-0006-0000-0400-00004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23" authorId="0" shapeId="0" xr:uid="{00000000-0006-0000-0400-00004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24" authorId="0" shapeId="0" xr:uid="{00000000-0006-0000-0400-00004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25" authorId="0" shapeId="0" xr:uid="{00000000-0006-0000-0400-00004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26" authorId="0" shapeId="0" xr:uid="{00000000-0006-0000-0400-00004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27" authorId="0" shapeId="0" xr:uid="{00000000-0006-0000-0400-00004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28" authorId="0" shapeId="0" xr:uid="{00000000-0006-0000-0400-00004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29" authorId="0" shapeId="0" xr:uid="{00000000-0006-0000-0400-00004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30" authorId="0" shapeId="0" xr:uid="{00000000-0006-0000-0400-00004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31" authorId="0" shapeId="0" xr:uid="{00000000-0006-0000-0400-00004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32" authorId="0" shapeId="0" xr:uid="{00000000-0006-0000-0400-00005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33" authorId="0" shapeId="0" xr:uid="{00000000-0006-0000-0400-00005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34" authorId="0" shapeId="0" xr:uid="{00000000-0006-0000-0400-00005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35" authorId="0" shapeId="0" xr:uid="{00000000-0006-0000-0400-00005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36" authorId="0" shapeId="0" xr:uid="{00000000-0006-0000-0400-00005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37" authorId="0" shapeId="0" xr:uid="{00000000-0006-0000-0400-00005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38" authorId="0" shapeId="0" xr:uid="{00000000-0006-0000-0400-00005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39" authorId="0" shapeId="0" xr:uid="{00000000-0006-0000-0400-00005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40" authorId="0" shapeId="0" xr:uid="{00000000-0006-0000-0400-00005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41" authorId="0" shapeId="0" xr:uid="{00000000-0006-0000-0400-00005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42" authorId="0" shapeId="0" xr:uid="{00000000-0006-0000-0400-00005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43" authorId="0" shapeId="0" xr:uid="{00000000-0006-0000-0400-00005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44" authorId="0" shapeId="0" xr:uid="{00000000-0006-0000-0400-00005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45" authorId="0" shapeId="0" xr:uid="{00000000-0006-0000-0400-00005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46" authorId="0" shapeId="0" xr:uid="{00000000-0006-0000-0400-00005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47" authorId="0" shapeId="0" xr:uid="{00000000-0006-0000-0400-00005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48" authorId="0" shapeId="0" xr:uid="{00000000-0006-0000-0400-00006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49" authorId="0" shapeId="0" xr:uid="{00000000-0006-0000-0400-00006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50" authorId="0" shapeId="0" xr:uid="{00000000-0006-0000-0400-00006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51" authorId="0" shapeId="0" xr:uid="{00000000-0006-0000-0400-00006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52" authorId="0" shapeId="0" xr:uid="{00000000-0006-0000-0400-00006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53" authorId="0" shapeId="0" xr:uid="{00000000-0006-0000-0400-00006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54" authorId="0" shapeId="0" xr:uid="{00000000-0006-0000-0400-00006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55" authorId="0" shapeId="0" xr:uid="{00000000-0006-0000-0400-00006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56" authorId="0" shapeId="0" xr:uid="{00000000-0006-0000-0400-00006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57" authorId="0" shapeId="0" xr:uid="{00000000-0006-0000-0400-00006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58" authorId="0" shapeId="0" xr:uid="{00000000-0006-0000-0400-00006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59" authorId="0" shapeId="0" xr:uid="{00000000-0006-0000-0400-00006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60" authorId="0" shapeId="0" xr:uid="{00000000-0006-0000-0400-00006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61" authorId="0" shapeId="0" xr:uid="{00000000-0006-0000-0400-00006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62" authorId="0" shapeId="0" xr:uid="{00000000-0006-0000-0400-00006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63" authorId="0" shapeId="0" xr:uid="{00000000-0006-0000-0400-00006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64" authorId="0" shapeId="0" xr:uid="{00000000-0006-0000-0400-00007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65" authorId="0" shapeId="0" xr:uid="{00000000-0006-0000-0400-00007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66" authorId="0" shapeId="0" xr:uid="{00000000-0006-0000-0400-00007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67" authorId="0" shapeId="0" xr:uid="{00000000-0006-0000-0400-00007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68" authorId="0" shapeId="0" xr:uid="{00000000-0006-0000-0400-00007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69" authorId="0" shapeId="0" xr:uid="{00000000-0006-0000-0400-00007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70" authorId="0" shapeId="0" xr:uid="{00000000-0006-0000-0400-00007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71" authorId="0" shapeId="0" xr:uid="{00000000-0006-0000-0400-00007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72" authorId="0" shapeId="0" xr:uid="{00000000-0006-0000-0400-00007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73" authorId="0" shapeId="0" xr:uid="{00000000-0006-0000-0400-00007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74" authorId="0" shapeId="0" xr:uid="{00000000-0006-0000-0400-00007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75" authorId="0" shapeId="0" xr:uid="{00000000-0006-0000-0400-00007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76" authorId="0" shapeId="0" xr:uid="{00000000-0006-0000-0400-00007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77" authorId="0" shapeId="0" xr:uid="{00000000-0006-0000-0400-00007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78" authorId="0" shapeId="0" xr:uid="{00000000-0006-0000-0400-00007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79" authorId="0" shapeId="0" xr:uid="{00000000-0006-0000-0400-00007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80" authorId="0" shapeId="0" xr:uid="{00000000-0006-0000-0400-00008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81" authorId="0" shapeId="0" xr:uid="{00000000-0006-0000-0400-00008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82" authorId="0" shapeId="0" xr:uid="{00000000-0006-0000-0400-00008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83" authorId="0" shapeId="0" xr:uid="{00000000-0006-0000-0400-00008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84" authorId="0" shapeId="0" xr:uid="{00000000-0006-0000-0400-00008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85" authorId="0" shapeId="0" xr:uid="{00000000-0006-0000-0400-00008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86" authorId="0" shapeId="0" xr:uid="{00000000-0006-0000-0400-00008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87" authorId="0" shapeId="0" xr:uid="{00000000-0006-0000-0400-00008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88" authorId="0" shapeId="0" xr:uid="{00000000-0006-0000-0400-00008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89" authorId="0" shapeId="0" xr:uid="{00000000-0006-0000-0400-00008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90" authorId="0" shapeId="0" xr:uid="{00000000-0006-0000-0400-00008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91" authorId="0" shapeId="0" xr:uid="{00000000-0006-0000-0400-00008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92" authorId="0" shapeId="0" xr:uid="{00000000-0006-0000-0400-00008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93" authorId="0" shapeId="0" xr:uid="{00000000-0006-0000-0400-00008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94" authorId="0" shapeId="0" xr:uid="{00000000-0006-0000-0400-00008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95" authorId="0" shapeId="0" xr:uid="{00000000-0006-0000-0400-00008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96" authorId="0" shapeId="0" xr:uid="{00000000-0006-0000-0400-00009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97" authorId="0" shapeId="0" xr:uid="{00000000-0006-0000-0400-00009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98" authorId="0" shapeId="0" xr:uid="{00000000-0006-0000-0400-00009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399" authorId="0" shapeId="0" xr:uid="{00000000-0006-0000-0400-00009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00" authorId="0" shapeId="0" xr:uid="{00000000-0006-0000-0400-00009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01" authorId="0" shapeId="0" xr:uid="{00000000-0006-0000-0400-00009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02" authorId="0" shapeId="0" xr:uid="{00000000-0006-0000-0400-00009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03" authorId="0" shapeId="0" xr:uid="{00000000-0006-0000-0400-00009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04" authorId="0" shapeId="0" xr:uid="{00000000-0006-0000-0400-00009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05" authorId="0" shapeId="0" xr:uid="{00000000-0006-0000-0400-00009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06" authorId="0" shapeId="0" xr:uid="{00000000-0006-0000-0400-00009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07" authorId="0" shapeId="0" xr:uid="{00000000-0006-0000-0400-00009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08" authorId="0" shapeId="0" xr:uid="{00000000-0006-0000-0400-00009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09" authorId="0" shapeId="0" xr:uid="{00000000-0006-0000-0400-00009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10" authorId="0" shapeId="0" xr:uid="{00000000-0006-0000-0400-00009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11" authorId="0" shapeId="0" xr:uid="{00000000-0006-0000-0400-00009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12" authorId="0" shapeId="0" xr:uid="{00000000-0006-0000-0400-0000A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13" authorId="0" shapeId="0" xr:uid="{00000000-0006-0000-0400-0000A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14" authorId="0" shapeId="0" xr:uid="{00000000-0006-0000-0400-0000A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15" authorId="0" shapeId="0" xr:uid="{00000000-0006-0000-0400-0000A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16" authorId="0" shapeId="0" xr:uid="{00000000-0006-0000-0400-0000A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17" authorId="0" shapeId="0" xr:uid="{00000000-0006-0000-0400-0000A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18" authorId="0" shapeId="0" xr:uid="{00000000-0006-0000-0400-0000A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19" authorId="0" shapeId="0" xr:uid="{00000000-0006-0000-0400-0000A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20" authorId="0" shapeId="0" xr:uid="{00000000-0006-0000-0400-0000A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21" authorId="0" shapeId="0" xr:uid="{00000000-0006-0000-0400-0000A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22" authorId="0" shapeId="0" xr:uid="{00000000-0006-0000-0400-0000A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23" authorId="0" shapeId="0" xr:uid="{00000000-0006-0000-0400-0000A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24" authorId="0" shapeId="0" xr:uid="{00000000-0006-0000-0400-0000A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25" authorId="0" shapeId="0" xr:uid="{00000000-0006-0000-0400-0000A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26" authorId="0" shapeId="0" xr:uid="{00000000-0006-0000-0400-0000A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27" authorId="0" shapeId="0" xr:uid="{00000000-0006-0000-0400-0000A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28" authorId="0" shapeId="0" xr:uid="{00000000-0006-0000-0400-0000B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29" authorId="0" shapeId="0" xr:uid="{00000000-0006-0000-0400-0000B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30" authorId="0" shapeId="0" xr:uid="{00000000-0006-0000-0400-0000B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31" authorId="0" shapeId="0" xr:uid="{00000000-0006-0000-0400-0000B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32" authorId="0" shapeId="0" xr:uid="{00000000-0006-0000-0400-0000B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33" authorId="0" shapeId="0" xr:uid="{00000000-0006-0000-0400-0000B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34" authorId="0" shapeId="0" xr:uid="{00000000-0006-0000-0400-0000B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35" authorId="0" shapeId="0" xr:uid="{00000000-0006-0000-0400-0000B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36" authorId="0" shapeId="0" xr:uid="{00000000-0006-0000-0400-0000B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37" authorId="0" shapeId="0" xr:uid="{00000000-0006-0000-0400-0000B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38" authorId="0" shapeId="0" xr:uid="{00000000-0006-0000-0400-0000B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39" authorId="0" shapeId="0" xr:uid="{00000000-0006-0000-0400-0000B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40" authorId="0" shapeId="0" xr:uid="{00000000-0006-0000-0400-0000B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41" authorId="0" shapeId="0" xr:uid="{00000000-0006-0000-0400-0000B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42" authorId="0" shapeId="0" xr:uid="{00000000-0006-0000-0400-0000B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43" authorId="0" shapeId="0" xr:uid="{00000000-0006-0000-0400-0000B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44" authorId="0" shapeId="0" xr:uid="{00000000-0006-0000-0400-0000C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45" authorId="0" shapeId="0" xr:uid="{00000000-0006-0000-0400-0000C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46" authorId="0" shapeId="0" xr:uid="{00000000-0006-0000-0400-0000C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47" authorId="0" shapeId="0" xr:uid="{00000000-0006-0000-0400-0000C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48" authorId="0" shapeId="0" xr:uid="{00000000-0006-0000-0400-0000C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49" authorId="0" shapeId="0" xr:uid="{00000000-0006-0000-0400-0000C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50" authorId="0" shapeId="0" xr:uid="{00000000-0006-0000-0400-0000C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51" authorId="0" shapeId="0" xr:uid="{00000000-0006-0000-0400-0000C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52" authorId="0" shapeId="0" xr:uid="{00000000-0006-0000-0400-0000C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53" authorId="0" shapeId="0" xr:uid="{00000000-0006-0000-0400-0000C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54" authorId="0" shapeId="0" xr:uid="{00000000-0006-0000-0400-0000C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55" authorId="0" shapeId="0" xr:uid="{00000000-0006-0000-0400-0000C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56" authorId="0" shapeId="0" xr:uid="{00000000-0006-0000-0400-0000C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57" authorId="0" shapeId="0" xr:uid="{00000000-0006-0000-0400-0000C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58" authorId="0" shapeId="0" xr:uid="{00000000-0006-0000-0400-0000C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59" authorId="0" shapeId="0" xr:uid="{00000000-0006-0000-0400-0000C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60" authorId="0" shapeId="0" xr:uid="{00000000-0006-0000-0400-0000D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61" authorId="0" shapeId="0" xr:uid="{00000000-0006-0000-0400-0000D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62" authorId="0" shapeId="0" xr:uid="{00000000-0006-0000-0400-0000D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63" authorId="0" shapeId="0" xr:uid="{00000000-0006-0000-0400-0000D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64" authorId="0" shapeId="0" xr:uid="{00000000-0006-0000-0400-0000D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65" authorId="0" shapeId="0" xr:uid="{00000000-0006-0000-0400-0000D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66" authorId="0" shapeId="0" xr:uid="{00000000-0006-0000-0400-0000D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67" authorId="0" shapeId="0" xr:uid="{00000000-0006-0000-0400-0000D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68" authorId="0" shapeId="0" xr:uid="{00000000-0006-0000-0400-0000D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69" authorId="0" shapeId="0" xr:uid="{00000000-0006-0000-0400-0000D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70" authorId="0" shapeId="0" xr:uid="{00000000-0006-0000-0400-0000D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71" authorId="0" shapeId="0" xr:uid="{00000000-0006-0000-0400-0000D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72" authorId="0" shapeId="0" xr:uid="{00000000-0006-0000-0400-0000D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73" authorId="0" shapeId="0" xr:uid="{00000000-0006-0000-0400-0000D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74" authorId="0" shapeId="0" xr:uid="{00000000-0006-0000-0400-0000D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75" authorId="0" shapeId="0" xr:uid="{00000000-0006-0000-0400-0000D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76" authorId="0" shapeId="0" xr:uid="{00000000-0006-0000-0400-0000E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77" authorId="0" shapeId="0" xr:uid="{00000000-0006-0000-0400-0000E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78" authorId="0" shapeId="0" xr:uid="{00000000-0006-0000-0400-0000E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79" authorId="0" shapeId="0" xr:uid="{00000000-0006-0000-0400-0000E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80" authorId="0" shapeId="0" xr:uid="{00000000-0006-0000-0400-0000E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81" authorId="0" shapeId="0" xr:uid="{00000000-0006-0000-0400-0000E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82" authorId="0" shapeId="0" xr:uid="{00000000-0006-0000-0400-0000E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83" authorId="0" shapeId="0" xr:uid="{00000000-0006-0000-0400-0000E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84" authorId="0" shapeId="0" xr:uid="{00000000-0006-0000-0400-0000E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85" authorId="0" shapeId="0" xr:uid="{00000000-0006-0000-0400-0000E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86" authorId="0" shapeId="0" xr:uid="{00000000-0006-0000-0400-0000E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87" authorId="0" shapeId="0" xr:uid="{00000000-0006-0000-0400-0000E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88" authorId="0" shapeId="0" xr:uid="{00000000-0006-0000-0400-0000E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89" authorId="0" shapeId="0" xr:uid="{00000000-0006-0000-0400-0000E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90" authorId="0" shapeId="0" xr:uid="{00000000-0006-0000-0400-0000E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91" authorId="0" shapeId="0" xr:uid="{00000000-0006-0000-0400-0000E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92" authorId="0" shapeId="0" xr:uid="{00000000-0006-0000-0400-0000F0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93" authorId="0" shapeId="0" xr:uid="{00000000-0006-0000-0400-0000F1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94" authorId="0" shapeId="0" xr:uid="{00000000-0006-0000-0400-0000F2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95" authorId="0" shapeId="0" xr:uid="{00000000-0006-0000-0400-0000F3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96" authorId="0" shapeId="0" xr:uid="{00000000-0006-0000-0400-0000F4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97" authorId="0" shapeId="0" xr:uid="{00000000-0006-0000-0400-0000F5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98" authorId="0" shapeId="0" xr:uid="{00000000-0006-0000-0400-0000F6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499" authorId="0" shapeId="0" xr:uid="{00000000-0006-0000-0400-0000F7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00" authorId="0" shapeId="0" xr:uid="{00000000-0006-0000-0400-0000F8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01" authorId="0" shapeId="0" xr:uid="{00000000-0006-0000-0400-0000F9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02" authorId="0" shapeId="0" xr:uid="{00000000-0006-0000-0400-0000FA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03" authorId="0" shapeId="0" xr:uid="{00000000-0006-0000-0400-0000FB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04" authorId="0" shapeId="0" xr:uid="{00000000-0006-0000-0400-0000FC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05" authorId="0" shapeId="0" xr:uid="{00000000-0006-0000-0400-0000FD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06" authorId="0" shapeId="0" xr:uid="{00000000-0006-0000-0400-0000FE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07" authorId="0" shapeId="0" xr:uid="{00000000-0006-0000-0400-0000FF01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08" authorId="0" shapeId="0" xr:uid="{00000000-0006-0000-0400-00000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09" authorId="0" shapeId="0" xr:uid="{00000000-0006-0000-0400-00000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10" authorId="0" shapeId="0" xr:uid="{00000000-0006-0000-0400-00000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11" authorId="0" shapeId="0" xr:uid="{00000000-0006-0000-0400-00000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12" authorId="0" shapeId="0" xr:uid="{00000000-0006-0000-0400-00000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13" authorId="0" shapeId="0" xr:uid="{00000000-0006-0000-0400-00000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14" authorId="0" shapeId="0" xr:uid="{00000000-0006-0000-0400-00000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15" authorId="0" shapeId="0" xr:uid="{00000000-0006-0000-0400-00000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16" authorId="0" shapeId="0" xr:uid="{00000000-0006-0000-0400-00000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17" authorId="0" shapeId="0" xr:uid="{00000000-0006-0000-0400-00000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18" authorId="0" shapeId="0" xr:uid="{00000000-0006-0000-0400-00000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19" authorId="0" shapeId="0" xr:uid="{00000000-0006-0000-0400-00000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20" authorId="0" shapeId="0" xr:uid="{00000000-0006-0000-0400-00000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21" authorId="0" shapeId="0" xr:uid="{00000000-0006-0000-0400-00000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22" authorId="0" shapeId="0" xr:uid="{00000000-0006-0000-0400-00000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23" authorId="0" shapeId="0" xr:uid="{00000000-0006-0000-0400-00000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24" authorId="0" shapeId="0" xr:uid="{00000000-0006-0000-0400-00001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25" authorId="0" shapeId="0" xr:uid="{00000000-0006-0000-0400-00001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26" authorId="0" shapeId="0" xr:uid="{00000000-0006-0000-0400-00001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27" authorId="0" shapeId="0" xr:uid="{00000000-0006-0000-0400-00001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28" authorId="0" shapeId="0" xr:uid="{00000000-0006-0000-0400-00001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29" authorId="0" shapeId="0" xr:uid="{00000000-0006-0000-0400-00001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30" authorId="0" shapeId="0" xr:uid="{00000000-0006-0000-0400-00001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31" authorId="0" shapeId="0" xr:uid="{00000000-0006-0000-0400-00001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32" authorId="0" shapeId="0" xr:uid="{00000000-0006-0000-0400-00001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33" authorId="0" shapeId="0" xr:uid="{00000000-0006-0000-0400-00001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34" authorId="0" shapeId="0" xr:uid="{00000000-0006-0000-0400-00001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35" authorId="0" shapeId="0" xr:uid="{00000000-0006-0000-0400-00001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36" authorId="0" shapeId="0" xr:uid="{00000000-0006-0000-0400-00001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37" authorId="0" shapeId="0" xr:uid="{00000000-0006-0000-0400-00001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38" authorId="0" shapeId="0" xr:uid="{00000000-0006-0000-0400-00001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39" authorId="0" shapeId="0" xr:uid="{00000000-0006-0000-0400-00001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40" authorId="0" shapeId="0" xr:uid="{00000000-0006-0000-0400-00002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41" authorId="0" shapeId="0" xr:uid="{00000000-0006-0000-0400-00002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42" authorId="0" shapeId="0" xr:uid="{00000000-0006-0000-0400-00002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43" authorId="0" shapeId="0" xr:uid="{00000000-0006-0000-0400-00002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44" authorId="0" shapeId="0" xr:uid="{00000000-0006-0000-0400-00002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45" authorId="0" shapeId="0" xr:uid="{00000000-0006-0000-0400-00002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46" authorId="0" shapeId="0" xr:uid="{00000000-0006-0000-0400-00002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47" authorId="0" shapeId="0" xr:uid="{00000000-0006-0000-0400-00002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48" authorId="0" shapeId="0" xr:uid="{00000000-0006-0000-0400-00002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49" authorId="0" shapeId="0" xr:uid="{00000000-0006-0000-0400-00002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50" authorId="0" shapeId="0" xr:uid="{00000000-0006-0000-0400-00002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51" authorId="0" shapeId="0" xr:uid="{00000000-0006-0000-0400-00002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52" authorId="0" shapeId="0" xr:uid="{00000000-0006-0000-0400-00002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53" authorId="0" shapeId="0" xr:uid="{00000000-0006-0000-0400-00002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54" authorId="0" shapeId="0" xr:uid="{00000000-0006-0000-0400-00002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55" authorId="0" shapeId="0" xr:uid="{00000000-0006-0000-0400-00002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56" authorId="0" shapeId="0" xr:uid="{00000000-0006-0000-0400-00003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57" authorId="0" shapeId="0" xr:uid="{00000000-0006-0000-0400-00003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58" authorId="0" shapeId="0" xr:uid="{00000000-0006-0000-0400-00003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59" authorId="0" shapeId="0" xr:uid="{00000000-0006-0000-0400-00003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60" authorId="0" shapeId="0" xr:uid="{00000000-0006-0000-0400-00003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61" authorId="0" shapeId="0" xr:uid="{00000000-0006-0000-0400-00003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62" authorId="0" shapeId="0" xr:uid="{00000000-0006-0000-0400-00003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63" authorId="0" shapeId="0" xr:uid="{00000000-0006-0000-0400-00003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64" authorId="0" shapeId="0" xr:uid="{00000000-0006-0000-0400-00003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65" authorId="0" shapeId="0" xr:uid="{00000000-0006-0000-0400-00003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66" authorId="0" shapeId="0" xr:uid="{00000000-0006-0000-0400-00003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67" authorId="0" shapeId="0" xr:uid="{00000000-0006-0000-0400-00003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68" authorId="0" shapeId="0" xr:uid="{00000000-0006-0000-0400-00003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69" authorId="0" shapeId="0" xr:uid="{00000000-0006-0000-0400-00003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70" authorId="0" shapeId="0" xr:uid="{00000000-0006-0000-0400-00003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71" authorId="0" shapeId="0" xr:uid="{00000000-0006-0000-0400-00003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72" authorId="0" shapeId="0" xr:uid="{00000000-0006-0000-0400-00004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73" authorId="0" shapeId="0" xr:uid="{00000000-0006-0000-0400-00004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74" authorId="0" shapeId="0" xr:uid="{00000000-0006-0000-0400-00004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75" authorId="0" shapeId="0" xr:uid="{00000000-0006-0000-0400-00004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76" authorId="0" shapeId="0" xr:uid="{00000000-0006-0000-0400-00004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77" authorId="0" shapeId="0" xr:uid="{00000000-0006-0000-0400-00004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78" authorId="0" shapeId="0" xr:uid="{00000000-0006-0000-0400-00004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79" authorId="0" shapeId="0" xr:uid="{00000000-0006-0000-0400-00004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80" authorId="0" shapeId="0" xr:uid="{00000000-0006-0000-0400-00004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81" authorId="0" shapeId="0" xr:uid="{00000000-0006-0000-0400-00004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82" authorId="0" shapeId="0" xr:uid="{00000000-0006-0000-0400-00004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83" authorId="0" shapeId="0" xr:uid="{00000000-0006-0000-0400-00004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84" authorId="0" shapeId="0" xr:uid="{00000000-0006-0000-0400-00004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85" authorId="0" shapeId="0" xr:uid="{00000000-0006-0000-0400-00004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86" authorId="0" shapeId="0" xr:uid="{00000000-0006-0000-0400-00004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87" authorId="0" shapeId="0" xr:uid="{00000000-0006-0000-0400-00004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88" authorId="0" shapeId="0" xr:uid="{00000000-0006-0000-0400-00005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89" authorId="0" shapeId="0" xr:uid="{00000000-0006-0000-0400-00005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90" authorId="0" shapeId="0" xr:uid="{00000000-0006-0000-0400-00005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91" authorId="0" shapeId="0" xr:uid="{00000000-0006-0000-0400-00005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92" authorId="0" shapeId="0" xr:uid="{00000000-0006-0000-0400-00005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93" authorId="0" shapeId="0" xr:uid="{00000000-0006-0000-0400-00005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94" authorId="0" shapeId="0" xr:uid="{00000000-0006-0000-0400-00005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95" authorId="0" shapeId="0" xr:uid="{00000000-0006-0000-0400-00005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96" authorId="0" shapeId="0" xr:uid="{00000000-0006-0000-0400-00005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97" authorId="0" shapeId="0" xr:uid="{00000000-0006-0000-0400-00005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98" authorId="0" shapeId="0" xr:uid="{00000000-0006-0000-0400-00005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599" authorId="0" shapeId="0" xr:uid="{00000000-0006-0000-0400-00005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00" authorId="0" shapeId="0" xr:uid="{00000000-0006-0000-0400-00005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01" authorId="0" shapeId="0" xr:uid="{00000000-0006-0000-0400-00005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02" authorId="0" shapeId="0" xr:uid="{00000000-0006-0000-0400-00005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03" authorId="0" shapeId="0" xr:uid="{00000000-0006-0000-0400-00005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04" authorId="0" shapeId="0" xr:uid="{00000000-0006-0000-0400-00006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05" authorId="0" shapeId="0" xr:uid="{00000000-0006-0000-0400-00006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06" authorId="0" shapeId="0" xr:uid="{00000000-0006-0000-0400-00006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07" authorId="0" shapeId="0" xr:uid="{00000000-0006-0000-0400-00006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08" authorId="0" shapeId="0" xr:uid="{00000000-0006-0000-0400-00006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09" authorId="0" shapeId="0" xr:uid="{00000000-0006-0000-0400-00006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10" authorId="0" shapeId="0" xr:uid="{00000000-0006-0000-0400-00006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11" authorId="0" shapeId="0" xr:uid="{00000000-0006-0000-0400-00006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12" authorId="0" shapeId="0" xr:uid="{00000000-0006-0000-0400-00006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13" authorId="0" shapeId="0" xr:uid="{00000000-0006-0000-0400-00006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14" authorId="0" shapeId="0" xr:uid="{00000000-0006-0000-0400-00006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15" authorId="0" shapeId="0" xr:uid="{00000000-0006-0000-0400-00006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16" authorId="0" shapeId="0" xr:uid="{00000000-0006-0000-0400-00006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17" authorId="0" shapeId="0" xr:uid="{00000000-0006-0000-0400-00006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18" authorId="0" shapeId="0" xr:uid="{00000000-0006-0000-0400-00006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19" authorId="0" shapeId="0" xr:uid="{00000000-0006-0000-0400-00006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20" authorId="0" shapeId="0" xr:uid="{00000000-0006-0000-0400-00007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21" authorId="0" shapeId="0" xr:uid="{00000000-0006-0000-0400-00007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22" authorId="0" shapeId="0" xr:uid="{00000000-0006-0000-0400-00007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23" authorId="0" shapeId="0" xr:uid="{00000000-0006-0000-0400-00007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24" authorId="0" shapeId="0" xr:uid="{00000000-0006-0000-0400-00007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25" authorId="0" shapeId="0" xr:uid="{00000000-0006-0000-0400-00007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26" authorId="0" shapeId="0" xr:uid="{00000000-0006-0000-0400-00007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27" authorId="0" shapeId="0" xr:uid="{00000000-0006-0000-0400-00007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28" authorId="0" shapeId="0" xr:uid="{00000000-0006-0000-0400-00007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29" authorId="0" shapeId="0" xr:uid="{00000000-0006-0000-0400-00007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30" authorId="0" shapeId="0" xr:uid="{00000000-0006-0000-0400-00007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31" authorId="0" shapeId="0" xr:uid="{00000000-0006-0000-0400-00007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32" authorId="0" shapeId="0" xr:uid="{00000000-0006-0000-0400-00007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33" authorId="0" shapeId="0" xr:uid="{00000000-0006-0000-0400-00007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34" authorId="0" shapeId="0" xr:uid="{00000000-0006-0000-0400-00007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35" authorId="0" shapeId="0" xr:uid="{00000000-0006-0000-0400-00007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36" authorId="0" shapeId="0" xr:uid="{00000000-0006-0000-0400-00008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37" authorId="0" shapeId="0" xr:uid="{00000000-0006-0000-0400-00008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38" authorId="0" shapeId="0" xr:uid="{00000000-0006-0000-0400-00008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39" authorId="0" shapeId="0" xr:uid="{00000000-0006-0000-0400-00008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40" authorId="0" shapeId="0" xr:uid="{00000000-0006-0000-0400-00008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41" authorId="0" shapeId="0" xr:uid="{00000000-0006-0000-0400-00008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42" authorId="0" shapeId="0" xr:uid="{00000000-0006-0000-0400-00008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43" authorId="0" shapeId="0" xr:uid="{00000000-0006-0000-0400-00008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44" authorId="0" shapeId="0" xr:uid="{00000000-0006-0000-0400-00008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45" authorId="0" shapeId="0" xr:uid="{00000000-0006-0000-0400-00008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46" authorId="0" shapeId="0" xr:uid="{00000000-0006-0000-0400-00008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47" authorId="0" shapeId="0" xr:uid="{00000000-0006-0000-0400-00008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48" authorId="0" shapeId="0" xr:uid="{00000000-0006-0000-0400-00008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49" authorId="0" shapeId="0" xr:uid="{00000000-0006-0000-0400-00008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50" authorId="0" shapeId="0" xr:uid="{00000000-0006-0000-0400-00008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51" authorId="0" shapeId="0" xr:uid="{00000000-0006-0000-0400-00008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52" authorId="0" shapeId="0" xr:uid="{00000000-0006-0000-0400-00009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53" authorId="0" shapeId="0" xr:uid="{00000000-0006-0000-0400-00009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54" authorId="0" shapeId="0" xr:uid="{00000000-0006-0000-0400-00009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55" authorId="0" shapeId="0" xr:uid="{00000000-0006-0000-0400-00009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56" authorId="0" shapeId="0" xr:uid="{00000000-0006-0000-0400-00009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57" authorId="0" shapeId="0" xr:uid="{00000000-0006-0000-0400-00009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58" authorId="0" shapeId="0" xr:uid="{00000000-0006-0000-0400-00009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59" authorId="0" shapeId="0" xr:uid="{00000000-0006-0000-0400-00009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60" authorId="0" shapeId="0" xr:uid="{00000000-0006-0000-0400-00009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61" authorId="0" shapeId="0" xr:uid="{00000000-0006-0000-0400-00009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62" authorId="0" shapeId="0" xr:uid="{00000000-0006-0000-0400-00009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63" authorId="0" shapeId="0" xr:uid="{00000000-0006-0000-0400-00009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64" authorId="0" shapeId="0" xr:uid="{00000000-0006-0000-0400-00009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65" authorId="0" shapeId="0" xr:uid="{00000000-0006-0000-0400-00009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66" authorId="0" shapeId="0" xr:uid="{00000000-0006-0000-0400-00009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67" authorId="0" shapeId="0" xr:uid="{00000000-0006-0000-0400-00009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68" authorId="0" shapeId="0" xr:uid="{00000000-0006-0000-0400-0000A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69" authorId="0" shapeId="0" xr:uid="{00000000-0006-0000-0400-0000A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70" authorId="0" shapeId="0" xr:uid="{00000000-0006-0000-0400-0000A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71" authorId="0" shapeId="0" xr:uid="{00000000-0006-0000-0400-0000A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72" authorId="0" shapeId="0" xr:uid="{00000000-0006-0000-0400-0000A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73" authorId="0" shapeId="0" xr:uid="{00000000-0006-0000-0400-0000A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74" authorId="0" shapeId="0" xr:uid="{00000000-0006-0000-0400-0000A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75" authorId="0" shapeId="0" xr:uid="{00000000-0006-0000-0400-0000A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76" authorId="0" shapeId="0" xr:uid="{00000000-0006-0000-0400-0000A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77" authorId="0" shapeId="0" xr:uid="{00000000-0006-0000-0400-0000A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78" authorId="0" shapeId="0" xr:uid="{00000000-0006-0000-0400-0000A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79" authorId="0" shapeId="0" xr:uid="{00000000-0006-0000-0400-0000A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80" authorId="0" shapeId="0" xr:uid="{00000000-0006-0000-0400-0000A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81" authorId="0" shapeId="0" xr:uid="{00000000-0006-0000-0400-0000A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82" authorId="0" shapeId="0" xr:uid="{00000000-0006-0000-0400-0000A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83" authorId="0" shapeId="0" xr:uid="{00000000-0006-0000-0400-0000A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84" authorId="0" shapeId="0" xr:uid="{00000000-0006-0000-0400-0000B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85" authorId="0" shapeId="0" xr:uid="{00000000-0006-0000-0400-0000B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86" authorId="0" shapeId="0" xr:uid="{00000000-0006-0000-0400-0000B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87" authorId="0" shapeId="0" xr:uid="{00000000-0006-0000-0400-0000B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88" authorId="0" shapeId="0" xr:uid="{00000000-0006-0000-0400-0000B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89" authorId="0" shapeId="0" xr:uid="{00000000-0006-0000-0400-0000B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90" authorId="0" shapeId="0" xr:uid="{00000000-0006-0000-0400-0000B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91" authorId="0" shapeId="0" xr:uid="{00000000-0006-0000-0400-0000B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92" authorId="0" shapeId="0" xr:uid="{00000000-0006-0000-0400-0000B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93" authorId="0" shapeId="0" xr:uid="{00000000-0006-0000-0400-0000B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94" authorId="0" shapeId="0" xr:uid="{00000000-0006-0000-0400-0000B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95" authorId="0" shapeId="0" xr:uid="{00000000-0006-0000-0400-0000B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96" authorId="0" shapeId="0" xr:uid="{00000000-0006-0000-0400-0000B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97" authorId="0" shapeId="0" xr:uid="{00000000-0006-0000-0400-0000B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98" authorId="0" shapeId="0" xr:uid="{00000000-0006-0000-0400-0000B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699" authorId="0" shapeId="0" xr:uid="{00000000-0006-0000-0400-0000B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00" authorId="0" shapeId="0" xr:uid="{00000000-0006-0000-0400-0000C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01" authorId="0" shapeId="0" xr:uid="{00000000-0006-0000-0400-0000C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02" authorId="0" shapeId="0" xr:uid="{00000000-0006-0000-0400-0000C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03" authorId="0" shapeId="0" xr:uid="{00000000-0006-0000-0400-0000C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04" authorId="0" shapeId="0" xr:uid="{00000000-0006-0000-0400-0000C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05" authorId="0" shapeId="0" xr:uid="{00000000-0006-0000-0400-0000C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06" authorId="0" shapeId="0" xr:uid="{00000000-0006-0000-0400-0000C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07" authorId="0" shapeId="0" xr:uid="{00000000-0006-0000-0400-0000C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08" authorId="0" shapeId="0" xr:uid="{00000000-0006-0000-0400-0000C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09" authorId="0" shapeId="0" xr:uid="{00000000-0006-0000-0400-0000C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10" authorId="0" shapeId="0" xr:uid="{00000000-0006-0000-0400-0000C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11" authorId="0" shapeId="0" xr:uid="{00000000-0006-0000-0400-0000C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12" authorId="0" shapeId="0" xr:uid="{00000000-0006-0000-0400-0000C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13" authorId="0" shapeId="0" xr:uid="{00000000-0006-0000-0400-0000C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14" authorId="0" shapeId="0" xr:uid="{00000000-0006-0000-0400-0000C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15" authorId="0" shapeId="0" xr:uid="{00000000-0006-0000-0400-0000C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16" authorId="0" shapeId="0" xr:uid="{00000000-0006-0000-0400-0000D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17" authorId="0" shapeId="0" xr:uid="{00000000-0006-0000-0400-0000D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18" authorId="0" shapeId="0" xr:uid="{00000000-0006-0000-0400-0000D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19" authorId="0" shapeId="0" xr:uid="{00000000-0006-0000-0400-0000D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20" authorId="0" shapeId="0" xr:uid="{00000000-0006-0000-0400-0000D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21" authorId="0" shapeId="0" xr:uid="{00000000-0006-0000-0400-0000D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22" authorId="0" shapeId="0" xr:uid="{00000000-0006-0000-0400-0000D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23" authorId="0" shapeId="0" xr:uid="{00000000-0006-0000-0400-0000D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24" authorId="0" shapeId="0" xr:uid="{00000000-0006-0000-0400-0000D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25" authorId="0" shapeId="0" xr:uid="{00000000-0006-0000-0400-0000D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26" authorId="0" shapeId="0" xr:uid="{00000000-0006-0000-0400-0000D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27" authorId="0" shapeId="0" xr:uid="{00000000-0006-0000-0400-0000D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28" authorId="0" shapeId="0" xr:uid="{00000000-0006-0000-0400-0000D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29" authorId="0" shapeId="0" xr:uid="{00000000-0006-0000-0400-0000D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30" authorId="0" shapeId="0" xr:uid="{00000000-0006-0000-0400-0000D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31" authorId="0" shapeId="0" xr:uid="{00000000-0006-0000-0400-0000D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32" authorId="0" shapeId="0" xr:uid="{00000000-0006-0000-0400-0000E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33" authorId="0" shapeId="0" xr:uid="{00000000-0006-0000-0400-0000E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34" authorId="0" shapeId="0" xr:uid="{00000000-0006-0000-0400-0000E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35" authorId="0" shapeId="0" xr:uid="{00000000-0006-0000-0400-0000E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36" authorId="0" shapeId="0" xr:uid="{00000000-0006-0000-0400-0000E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37" authorId="0" shapeId="0" xr:uid="{00000000-0006-0000-0400-0000E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38" authorId="0" shapeId="0" xr:uid="{00000000-0006-0000-0400-0000E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39" authorId="0" shapeId="0" xr:uid="{00000000-0006-0000-0400-0000E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40" authorId="0" shapeId="0" xr:uid="{00000000-0006-0000-0400-0000E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41" authorId="0" shapeId="0" xr:uid="{00000000-0006-0000-0400-0000E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42" authorId="0" shapeId="0" xr:uid="{00000000-0006-0000-0400-0000E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43" authorId="0" shapeId="0" xr:uid="{00000000-0006-0000-0400-0000E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44" authorId="0" shapeId="0" xr:uid="{00000000-0006-0000-0400-0000E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45" authorId="0" shapeId="0" xr:uid="{00000000-0006-0000-0400-0000E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46" authorId="0" shapeId="0" xr:uid="{00000000-0006-0000-0400-0000E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47" authorId="0" shapeId="0" xr:uid="{00000000-0006-0000-0400-0000E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48" authorId="0" shapeId="0" xr:uid="{00000000-0006-0000-0400-0000F0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49" authorId="0" shapeId="0" xr:uid="{00000000-0006-0000-0400-0000F1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50" authorId="0" shapeId="0" xr:uid="{00000000-0006-0000-0400-0000F2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51" authorId="0" shapeId="0" xr:uid="{00000000-0006-0000-0400-0000F3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52" authorId="0" shapeId="0" xr:uid="{00000000-0006-0000-0400-0000F4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53" authorId="0" shapeId="0" xr:uid="{00000000-0006-0000-0400-0000F5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54" authorId="0" shapeId="0" xr:uid="{00000000-0006-0000-0400-0000F6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55" authorId="0" shapeId="0" xr:uid="{00000000-0006-0000-0400-0000F7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56" authorId="0" shapeId="0" xr:uid="{00000000-0006-0000-0400-0000F8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57" authorId="0" shapeId="0" xr:uid="{00000000-0006-0000-0400-0000F9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58" authorId="0" shapeId="0" xr:uid="{00000000-0006-0000-0400-0000FA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59" authorId="0" shapeId="0" xr:uid="{00000000-0006-0000-0400-0000FB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60" authorId="0" shapeId="0" xr:uid="{00000000-0006-0000-0400-0000FC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61" authorId="0" shapeId="0" xr:uid="{00000000-0006-0000-0400-0000FD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62" authorId="0" shapeId="0" xr:uid="{00000000-0006-0000-0400-0000FE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63" authorId="0" shapeId="0" xr:uid="{00000000-0006-0000-0400-0000FF02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64" authorId="0" shapeId="0" xr:uid="{00000000-0006-0000-0400-00000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65" authorId="0" shapeId="0" xr:uid="{00000000-0006-0000-0400-00000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66" authorId="0" shapeId="0" xr:uid="{00000000-0006-0000-0400-00000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67" authorId="0" shapeId="0" xr:uid="{00000000-0006-0000-0400-00000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68" authorId="0" shapeId="0" xr:uid="{00000000-0006-0000-0400-00000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69" authorId="0" shapeId="0" xr:uid="{00000000-0006-0000-0400-00000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70" authorId="0" shapeId="0" xr:uid="{00000000-0006-0000-0400-00000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71" authorId="0" shapeId="0" xr:uid="{00000000-0006-0000-0400-00000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72" authorId="0" shapeId="0" xr:uid="{00000000-0006-0000-0400-00000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73" authorId="0" shapeId="0" xr:uid="{00000000-0006-0000-0400-00000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74" authorId="0" shapeId="0" xr:uid="{00000000-0006-0000-0400-00000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75" authorId="0" shapeId="0" xr:uid="{00000000-0006-0000-0400-00000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76" authorId="0" shapeId="0" xr:uid="{00000000-0006-0000-0400-00000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77" authorId="0" shapeId="0" xr:uid="{00000000-0006-0000-0400-00000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78" authorId="0" shapeId="0" xr:uid="{00000000-0006-0000-0400-00000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79" authorId="0" shapeId="0" xr:uid="{00000000-0006-0000-0400-00000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80" authorId="0" shapeId="0" xr:uid="{00000000-0006-0000-0400-00001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81" authorId="0" shapeId="0" xr:uid="{00000000-0006-0000-0400-00001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82" authorId="0" shapeId="0" xr:uid="{00000000-0006-0000-0400-00001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83" authorId="0" shapeId="0" xr:uid="{00000000-0006-0000-0400-00001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84" authorId="0" shapeId="0" xr:uid="{00000000-0006-0000-0400-00001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85" authorId="0" shapeId="0" xr:uid="{00000000-0006-0000-0400-00001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86" authorId="0" shapeId="0" xr:uid="{00000000-0006-0000-0400-00001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87" authorId="0" shapeId="0" xr:uid="{00000000-0006-0000-0400-00001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88" authorId="0" shapeId="0" xr:uid="{00000000-0006-0000-0400-00001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89" authorId="0" shapeId="0" xr:uid="{00000000-0006-0000-0400-00001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90" authorId="0" shapeId="0" xr:uid="{00000000-0006-0000-0400-00001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91" authorId="0" shapeId="0" xr:uid="{00000000-0006-0000-0400-00001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92" authorId="0" shapeId="0" xr:uid="{00000000-0006-0000-0400-00001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93" authorId="0" shapeId="0" xr:uid="{00000000-0006-0000-0400-00001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94" authorId="0" shapeId="0" xr:uid="{00000000-0006-0000-0400-00001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95" authorId="0" shapeId="0" xr:uid="{00000000-0006-0000-0400-00001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96" authorId="0" shapeId="0" xr:uid="{00000000-0006-0000-0400-00002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97" authorId="0" shapeId="0" xr:uid="{00000000-0006-0000-0400-00002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98" authorId="0" shapeId="0" xr:uid="{00000000-0006-0000-0400-00002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799" authorId="0" shapeId="0" xr:uid="{00000000-0006-0000-0400-00002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00" authorId="0" shapeId="0" xr:uid="{00000000-0006-0000-0400-00002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01" authorId="0" shapeId="0" xr:uid="{00000000-0006-0000-0400-00002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02" authorId="0" shapeId="0" xr:uid="{00000000-0006-0000-0400-00002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03" authorId="0" shapeId="0" xr:uid="{00000000-0006-0000-0400-00002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04" authorId="0" shapeId="0" xr:uid="{00000000-0006-0000-0400-00002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05" authorId="0" shapeId="0" xr:uid="{00000000-0006-0000-0400-00002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06" authorId="0" shapeId="0" xr:uid="{00000000-0006-0000-0400-00002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07" authorId="0" shapeId="0" xr:uid="{00000000-0006-0000-0400-00002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08" authorId="0" shapeId="0" xr:uid="{00000000-0006-0000-0400-00002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09" authorId="0" shapeId="0" xr:uid="{00000000-0006-0000-0400-00002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10" authorId="0" shapeId="0" xr:uid="{00000000-0006-0000-0400-00002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11" authorId="0" shapeId="0" xr:uid="{00000000-0006-0000-0400-00002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12" authorId="0" shapeId="0" xr:uid="{00000000-0006-0000-0400-00003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13" authorId="0" shapeId="0" xr:uid="{00000000-0006-0000-0400-00003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14" authorId="0" shapeId="0" xr:uid="{00000000-0006-0000-0400-00003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15" authorId="0" shapeId="0" xr:uid="{00000000-0006-0000-0400-00003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16" authorId="0" shapeId="0" xr:uid="{00000000-0006-0000-0400-00003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17" authorId="0" shapeId="0" xr:uid="{00000000-0006-0000-0400-00003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18" authorId="0" shapeId="0" xr:uid="{00000000-0006-0000-0400-00003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19" authorId="0" shapeId="0" xr:uid="{00000000-0006-0000-0400-00003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20" authorId="0" shapeId="0" xr:uid="{00000000-0006-0000-0400-00003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21" authorId="0" shapeId="0" xr:uid="{00000000-0006-0000-0400-00003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22" authorId="0" shapeId="0" xr:uid="{00000000-0006-0000-0400-00003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23" authorId="0" shapeId="0" xr:uid="{00000000-0006-0000-0400-00003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24" authorId="0" shapeId="0" xr:uid="{00000000-0006-0000-0400-00003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25" authorId="0" shapeId="0" xr:uid="{00000000-0006-0000-0400-00003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26" authorId="0" shapeId="0" xr:uid="{00000000-0006-0000-0400-00003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27" authorId="0" shapeId="0" xr:uid="{00000000-0006-0000-0400-00003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28" authorId="0" shapeId="0" xr:uid="{00000000-0006-0000-0400-00004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29" authorId="0" shapeId="0" xr:uid="{00000000-0006-0000-0400-00004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30" authorId="0" shapeId="0" xr:uid="{00000000-0006-0000-0400-00004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31" authorId="0" shapeId="0" xr:uid="{00000000-0006-0000-0400-00004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32" authorId="0" shapeId="0" xr:uid="{00000000-0006-0000-0400-00004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33" authorId="0" shapeId="0" xr:uid="{00000000-0006-0000-0400-00004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34" authorId="0" shapeId="0" xr:uid="{00000000-0006-0000-0400-00004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35" authorId="0" shapeId="0" xr:uid="{00000000-0006-0000-0400-00004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36" authorId="0" shapeId="0" xr:uid="{00000000-0006-0000-0400-00004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37" authorId="0" shapeId="0" xr:uid="{00000000-0006-0000-0400-00004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38" authorId="0" shapeId="0" xr:uid="{00000000-0006-0000-0400-00004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39" authorId="0" shapeId="0" xr:uid="{00000000-0006-0000-0400-00004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40" authorId="0" shapeId="0" xr:uid="{00000000-0006-0000-0400-00004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41" authorId="0" shapeId="0" xr:uid="{00000000-0006-0000-0400-00004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42" authorId="0" shapeId="0" xr:uid="{00000000-0006-0000-0400-00004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43" authorId="0" shapeId="0" xr:uid="{00000000-0006-0000-0400-00004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44" authorId="0" shapeId="0" xr:uid="{00000000-0006-0000-0400-00005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45" authorId="0" shapeId="0" xr:uid="{00000000-0006-0000-0400-00005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46" authorId="0" shapeId="0" xr:uid="{00000000-0006-0000-0400-00005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47" authorId="0" shapeId="0" xr:uid="{00000000-0006-0000-0400-00005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48" authorId="0" shapeId="0" xr:uid="{00000000-0006-0000-0400-00005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49" authorId="0" shapeId="0" xr:uid="{00000000-0006-0000-0400-00005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50" authorId="0" shapeId="0" xr:uid="{00000000-0006-0000-0400-00005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51" authorId="0" shapeId="0" xr:uid="{00000000-0006-0000-0400-00005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52" authorId="0" shapeId="0" xr:uid="{00000000-0006-0000-0400-00005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53" authorId="0" shapeId="0" xr:uid="{00000000-0006-0000-0400-00005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54" authorId="0" shapeId="0" xr:uid="{00000000-0006-0000-0400-00005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55" authorId="0" shapeId="0" xr:uid="{00000000-0006-0000-0400-00005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56" authorId="0" shapeId="0" xr:uid="{00000000-0006-0000-0400-00005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57" authorId="0" shapeId="0" xr:uid="{00000000-0006-0000-0400-00005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58" authorId="0" shapeId="0" xr:uid="{00000000-0006-0000-0400-00005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59" authorId="0" shapeId="0" xr:uid="{00000000-0006-0000-0400-00005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60" authorId="0" shapeId="0" xr:uid="{00000000-0006-0000-0400-00006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61" authorId="0" shapeId="0" xr:uid="{00000000-0006-0000-0400-00006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62" authorId="0" shapeId="0" xr:uid="{00000000-0006-0000-0400-00006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63" authorId="0" shapeId="0" xr:uid="{00000000-0006-0000-0400-00006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64" authorId="0" shapeId="0" xr:uid="{00000000-0006-0000-0400-00006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65" authorId="0" shapeId="0" xr:uid="{00000000-0006-0000-0400-00006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66" authorId="0" shapeId="0" xr:uid="{00000000-0006-0000-0400-00006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67" authorId="0" shapeId="0" xr:uid="{00000000-0006-0000-0400-00006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68" authorId="0" shapeId="0" xr:uid="{00000000-0006-0000-0400-00006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69" authorId="0" shapeId="0" xr:uid="{00000000-0006-0000-0400-00006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70" authorId="0" shapeId="0" xr:uid="{00000000-0006-0000-0400-00006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71" authorId="0" shapeId="0" xr:uid="{00000000-0006-0000-0400-00006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72" authorId="0" shapeId="0" xr:uid="{00000000-0006-0000-0400-00006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73" authorId="0" shapeId="0" xr:uid="{00000000-0006-0000-0400-00006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74" authorId="0" shapeId="0" xr:uid="{00000000-0006-0000-0400-00006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75" authorId="0" shapeId="0" xr:uid="{00000000-0006-0000-0400-00006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76" authorId="0" shapeId="0" xr:uid="{00000000-0006-0000-0400-00007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77" authorId="0" shapeId="0" xr:uid="{00000000-0006-0000-0400-00007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78" authorId="0" shapeId="0" xr:uid="{00000000-0006-0000-0400-00007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79" authorId="0" shapeId="0" xr:uid="{00000000-0006-0000-0400-00007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80" authorId="0" shapeId="0" xr:uid="{00000000-0006-0000-0400-00007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81" authorId="0" shapeId="0" xr:uid="{00000000-0006-0000-0400-00007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82" authorId="0" shapeId="0" xr:uid="{00000000-0006-0000-0400-00007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83" authorId="0" shapeId="0" xr:uid="{00000000-0006-0000-0400-00007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84" authorId="0" shapeId="0" xr:uid="{00000000-0006-0000-0400-00007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85" authorId="0" shapeId="0" xr:uid="{00000000-0006-0000-0400-00007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86" authorId="0" shapeId="0" xr:uid="{00000000-0006-0000-0400-00007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87" authorId="0" shapeId="0" xr:uid="{00000000-0006-0000-0400-00007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88" authorId="0" shapeId="0" xr:uid="{00000000-0006-0000-0400-00007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89" authorId="0" shapeId="0" xr:uid="{00000000-0006-0000-0400-00007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90" authorId="0" shapeId="0" xr:uid="{00000000-0006-0000-0400-00007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91" authorId="0" shapeId="0" xr:uid="{00000000-0006-0000-0400-00007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92" authorId="0" shapeId="0" xr:uid="{00000000-0006-0000-0400-00008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93" authorId="0" shapeId="0" xr:uid="{00000000-0006-0000-0400-00008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94" authorId="0" shapeId="0" xr:uid="{00000000-0006-0000-0400-00008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95" authorId="0" shapeId="0" xr:uid="{00000000-0006-0000-0400-00008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96" authorId="0" shapeId="0" xr:uid="{00000000-0006-0000-0400-00008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97" authorId="0" shapeId="0" xr:uid="{00000000-0006-0000-0400-00008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98" authorId="0" shapeId="0" xr:uid="{00000000-0006-0000-0400-00008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899" authorId="0" shapeId="0" xr:uid="{00000000-0006-0000-0400-00008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00" authorId="0" shapeId="0" xr:uid="{00000000-0006-0000-0400-00008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01" authorId="0" shapeId="0" xr:uid="{00000000-0006-0000-0400-00008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02" authorId="0" shapeId="0" xr:uid="{00000000-0006-0000-0400-00008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03" authorId="0" shapeId="0" xr:uid="{00000000-0006-0000-0400-00008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04" authorId="0" shapeId="0" xr:uid="{00000000-0006-0000-0400-00008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05" authorId="0" shapeId="0" xr:uid="{00000000-0006-0000-0400-00008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06" authorId="0" shapeId="0" xr:uid="{00000000-0006-0000-0400-00008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07" authorId="0" shapeId="0" xr:uid="{00000000-0006-0000-0400-00008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08" authorId="0" shapeId="0" xr:uid="{00000000-0006-0000-0400-00009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09" authorId="0" shapeId="0" xr:uid="{00000000-0006-0000-0400-00009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10" authorId="0" shapeId="0" xr:uid="{00000000-0006-0000-0400-00009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11" authorId="0" shapeId="0" xr:uid="{00000000-0006-0000-0400-00009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12" authorId="0" shapeId="0" xr:uid="{00000000-0006-0000-0400-00009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13" authorId="0" shapeId="0" xr:uid="{00000000-0006-0000-0400-00009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14" authorId="0" shapeId="0" xr:uid="{00000000-0006-0000-0400-00009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15" authorId="0" shapeId="0" xr:uid="{00000000-0006-0000-0400-00009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16" authorId="0" shapeId="0" xr:uid="{00000000-0006-0000-0400-00009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17" authorId="0" shapeId="0" xr:uid="{00000000-0006-0000-0400-00009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18" authorId="0" shapeId="0" xr:uid="{00000000-0006-0000-0400-00009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19" authorId="0" shapeId="0" xr:uid="{00000000-0006-0000-0400-00009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20" authorId="0" shapeId="0" xr:uid="{00000000-0006-0000-0400-00009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21" authorId="0" shapeId="0" xr:uid="{00000000-0006-0000-0400-00009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22" authorId="0" shapeId="0" xr:uid="{00000000-0006-0000-0400-00009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23" authorId="0" shapeId="0" xr:uid="{00000000-0006-0000-0400-00009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24" authorId="0" shapeId="0" xr:uid="{00000000-0006-0000-0400-0000A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25" authorId="0" shapeId="0" xr:uid="{00000000-0006-0000-0400-0000A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26" authorId="0" shapeId="0" xr:uid="{00000000-0006-0000-0400-0000A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27" authorId="0" shapeId="0" xr:uid="{00000000-0006-0000-0400-0000A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28" authorId="0" shapeId="0" xr:uid="{00000000-0006-0000-0400-0000A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29" authorId="0" shapeId="0" xr:uid="{00000000-0006-0000-0400-0000A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30" authorId="0" shapeId="0" xr:uid="{00000000-0006-0000-0400-0000A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31" authorId="0" shapeId="0" xr:uid="{00000000-0006-0000-0400-0000A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32" authorId="0" shapeId="0" xr:uid="{00000000-0006-0000-0400-0000A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33" authorId="0" shapeId="0" xr:uid="{00000000-0006-0000-0400-0000A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34" authorId="0" shapeId="0" xr:uid="{00000000-0006-0000-0400-0000A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35" authorId="0" shapeId="0" xr:uid="{00000000-0006-0000-0400-0000A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36" authorId="0" shapeId="0" xr:uid="{00000000-0006-0000-0400-0000A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37" authorId="0" shapeId="0" xr:uid="{00000000-0006-0000-0400-0000A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38" authorId="0" shapeId="0" xr:uid="{00000000-0006-0000-0400-0000A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39" authorId="0" shapeId="0" xr:uid="{00000000-0006-0000-0400-0000A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40" authorId="0" shapeId="0" xr:uid="{00000000-0006-0000-0400-0000B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41" authorId="0" shapeId="0" xr:uid="{00000000-0006-0000-0400-0000B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42" authorId="0" shapeId="0" xr:uid="{00000000-0006-0000-0400-0000B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43" authorId="0" shapeId="0" xr:uid="{00000000-0006-0000-0400-0000B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44" authorId="0" shapeId="0" xr:uid="{00000000-0006-0000-0400-0000B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45" authorId="0" shapeId="0" xr:uid="{00000000-0006-0000-0400-0000B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46" authorId="0" shapeId="0" xr:uid="{00000000-0006-0000-0400-0000B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47" authorId="0" shapeId="0" xr:uid="{00000000-0006-0000-0400-0000B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48" authorId="0" shapeId="0" xr:uid="{00000000-0006-0000-0400-0000B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49" authorId="0" shapeId="0" xr:uid="{00000000-0006-0000-0400-0000B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50" authorId="0" shapeId="0" xr:uid="{00000000-0006-0000-0400-0000B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51" authorId="0" shapeId="0" xr:uid="{00000000-0006-0000-0400-0000B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52" authorId="0" shapeId="0" xr:uid="{00000000-0006-0000-0400-0000B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53" authorId="0" shapeId="0" xr:uid="{00000000-0006-0000-0400-0000B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54" authorId="0" shapeId="0" xr:uid="{00000000-0006-0000-0400-0000B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55" authorId="0" shapeId="0" xr:uid="{00000000-0006-0000-0400-0000B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56" authorId="0" shapeId="0" xr:uid="{00000000-0006-0000-0400-0000C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57" authorId="0" shapeId="0" xr:uid="{00000000-0006-0000-0400-0000C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58" authorId="0" shapeId="0" xr:uid="{00000000-0006-0000-0400-0000C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59" authorId="0" shapeId="0" xr:uid="{00000000-0006-0000-0400-0000C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60" authorId="0" shapeId="0" xr:uid="{00000000-0006-0000-0400-0000C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61" authorId="0" shapeId="0" xr:uid="{00000000-0006-0000-0400-0000C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62" authorId="0" shapeId="0" xr:uid="{00000000-0006-0000-0400-0000C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63" authorId="0" shapeId="0" xr:uid="{00000000-0006-0000-0400-0000C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64" authorId="0" shapeId="0" xr:uid="{00000000-0006-0000-0400-0000C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65" authorId="0" shapeId="0" xr:uid="{00000000-0006-0000-0400-0000C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66" authorId="0" shapeId="0" xr:uid="{00000000-0006-0000-0400-0000C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67" authorId="0" shapeId="0" xr:uid="{00000000-0006-0000-0400-0000C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68" authorId="0" shapeId="0" xr:uid="{00000000-0006-0000-0400-0000C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69" authorId="0" shapeId="0" xr:uid="{00000000-0006-0000-0400-0000C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70" authorId="0" shapeId="0" xr:uid="{00000000-0006-0000-0400-0000C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71" authorId="0" shapeId="0" xr:uid="{00000000-0006-0000-0400-0000C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72" authorId="0" shapeId="0" xr:uid="{00000000-0006-0000-0400-0000D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73" authorId="0" shapeId="0" xr:uid="{00000000-0006-0000-0400-0000D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74" authorId="0" shapeId="0" xr:uid="{00000000-0006-0000-0400-0000D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75" authorId="0" shapeId="0" xr:uid="{00000000-0006-0000-0400-0000D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76" authorId="0" shapeId="0" xr:uid="{00000000-0006-0000-0400-0000D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77" authorId="0" shapeId="0" xr:uid="{00000000-0006-0000-0400-0000D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78" authorId="0" shapeId="0" xr:uid="{00000000-0006-0000-0400-0000D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79" authorId="0" shapeId="0" xr:uid="{00000000-0006-0000-0400-0000D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80" authorId="0" shapeId="0" xr:uid="{00000000-0006-0000-0400-0000D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81" authorId="0" shapeId="0" xr:uid="{00000000-0006-0000-0400-0000D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82" authorId="0" shapeId="0" xr:uid="{00000000-0006-0000-0400-0000DA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83" authorId="0" shapeId="0" xr:uid="{00000000-0006-0000-0400-0000DB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84" authorId="0" shapeId="0" xr:uid="{00000000-0006-0000-0400-0000DC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85" authorId="0" shapeId="0" xr:uid="{00000000-0006-0000-0400-0000DD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86" authorId="0" shapeId="0" xr:uid="{00000000-0006-0000-0400-0000DE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87" authorId="0" shapeId="0" xr:uid="{00000000-0006-0000-0400-0000DF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88" authorId="0" shapeId="0" xr:uid="{00000000-0006-0000-0400-0000E0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89" authorId="0" shapeId="0" xr:uid="{00000000-0006-0000-0400-0000E1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90" authorId="0" shapeId="0" xr:uid="{00000000-0006-0000-0400-0000E2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91" authorId="0" shapeId="0" xr:uid="{00000000-0006-0000-0400-0000E3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92" authorId="0" shapeId="0" xr:uid="{00000000-0006-0000-0400-0000E4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93" authorId="0" shapeId="0" xr:uid="{00000000-0006-0000-0400-0000E5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94" authorId="0" shapeId="0" xr:uid="{00000000-0006-0000-0400-0000E6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95" authorId="0" shapeId="0" xr:uid="{00000000-0006-0000-0400-0000E7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96" authorId="0" shapeId="0" xr:uid="{00000000-0006-0000-0400-0000E8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 ref="E997" authorId="0" shapeId="0" xr:uid="{00000000-0006-0000-0400-0000E9030000}">
      <text>
        <r>
          <rPr>
            <sz val="11"/>
            <color theme="1"/>
            <rFont val="Calibri"/>
            <family val="2"/>
            <scheme val="minor"/>
          </rPr>
          <t>Outstanding = selected member's total Monthly Chit amount with interest where Monthly Chit Payment Status is UNPAID, minus this row's Amount Paid when Member Payment Status is PAID. Result cannot be negative.</t>
        </r>
      </text>
    </comment>
  </commentList>
</comments>
</file>

<file path=xl/sharedStrings.xml><?xml version="1.0" encoding="utf-8"?>
<sst xmlns="http://schemas.openxmlformats.org/spreadsheetml/2006/main" count="99" uniqueCount="70">
  <si>
    <t>CHIT FUND DASHBOARD (ಚಿಟ್ ಫಂಡ್ ಡ್ಯಾಶ್‌ಬೋರ್ಡ್)</t>
  </si>
  <si>
    <t>Ongoing chit fund (ನಡೆಯುತ್ತಿರುವ ಚಿಟ್ ಫಂಡ್) | 18 members (ಸದಸ್ಯರು) | ₹500 monthly contribution per member (ಪ್ರತಿ ಸದಸ್ಯರ ಮಾಸಿಕ ಕೊಡುಗೆ) | Auction / bidding (ಹರಾಜು / ಬಿಡ್ಡಿಂಗ್)</t>
  </si>
  <si>
    <t>Dashboard Item (ಡ್ಯಾಶ್‌ಬೋರ್ಡ್ ಅಂಶ)</t>
  </si>
  <si>
    <t>Value (ಮೌಲ್ಯ)</t>
  </si>
  <si>
    <t>Members (ಸದಸ್ಯರು)</t>
  </si>
  <si>
    <t>Monthly contribution per member (ಪ್ರತಿ ಸದಸ್ಯರ ಮಾಸಿಕ ಕೊಡುಗೆ)</t>
  </si>
  <si>
    <t>Expected monthly collection (ನಿರೀಕ್ಷಿತ ಮಾಸಿಕ ಸಂಗ್ರಹ)</t>
  </si>
  <si>
    <t>Total Account Balance (ಒಟ್ಟು ಖಾತೆ ಬಾಕಿ)</t>
  </si>
  <si>
    <t>Total Amount Needs to Recover (ವಸೂಲಿ ಮಾಡಬೇಕಾದ ಒಟ್ಟು ಮೊತ್ತ)</t>
  </si>
  <si>
    <t>MEMBER REGISTER (ಸದಸ್ಯರ ಪಟ್ಟಿ)</t>
  </si>
  <si>
    <t>Maintain the 18 group members here (ಇಲ್ಲಿ 18 ಸದಸ್ಯರ ವಿವರಗಳನ್ನು ನಿರ್ವಹಿಸಿ)</t>
  </si>
  <si>
    <t>Member ID (ಸದಸ್ಯರ ಐಡಿ)</t>
  </si>
  <si>
    <t>Member Name (ಸದಸ್ಯರ ಹೆಸರು)</t>
  </si>
  <si>
    <t>Monthly Contribution (₹) (ಮಾಸಿಕ ಕೊಡುಗೆ)</t>
  </si>
  <si>
    <t>Active? (ಸಕ್ರಿಯವೇ?)</t>
  </si>
  <si>
    <t>M001</t>
  </si>
  <si>
    <t>Bharath (ಭರತ್)</t>
  </si>
  <si>
    <t>Yes</t>
  </si>
  <si>
    <t>M002</t>
  </si>
  <si>
    <t>Manjunath LN (Bangalore) (ಮಂಜುನಾಥ್ ಎಲ್‌ಎನ್ (ಬೆಂಗಳೂರು))</t>
  </si>
  <si>
    <t>M003</t>
  </si>
  <si>
    <t>Jayanna (ಜಯಣ್ಣ)</t>
  </si>
  <si>
    <t>M004</t>
  </si>
  <si>
    <t>Jayanth (ಜಯಂತ್)</t>
  </si>
  <si>
    <t>M005</t>
  </si>
  <si>
    <t>Vijay (ವಿಜಯ್)</t>
  </si>
  <si>
    <t>M006</t>
  </si>
  <si>
    <t>Kumar LR (ಕುಮಾರ್ ಎಲ್‌ಆರ್)</t>
  </si>
  <si>
    <t>M007</t>
  </si>
  <si>
    <t>Kiran (ಕಿರಣ್)</t>
  </si>
  <si>
    <t>M008</t>
  </si>
  <si>
    <t>Charan (ಚರಣ್)</t>
  </si>
  <si>
    <t>M009</t>
  </si>
  <si>
    <t>Manjunath CM (ಮಂಜುನಾಥ್ ಸಿ ಎಂ)</t>
  </si>
  <si>
    <t>M010</t>
  </si>
  <si>
    <t>Yogesh (ಯೋಗೇಶ್)</t>
  </si>
  <si>
    <t>M011</t>
  </si>
  <si>
    <t>Sampath (ಸಂಪತ್)</t>
  </si>
  <si>
    <t>M012</t>
  </si>
  <si>
    <t>Manjunath LC (ಮಂಜುನಾಥ್ ಎಲ್ ಸಿ)</t>
  </si>
  <si>
    <t>M013</t>
  </si>
  <si>
    <t>Sudesh (ಸುದೇಶ್)</t>
  </si>
  <si>
    <t>M014</t>
  </si>
  <si>
    <t>Swamy (ಸ್ವಾಮಿ)</t>
  </si>
  <si>
    <t>M015</t>
  </si>
  <si>
    <t>Siddha(Shiva) (ಸಿದ್ದ (ಶಿವ))</t>
  </si>
  <si>
    <t>M016</t>
  </si>
  <si>
    <t>Thimmegowda (ತಿಮ್ಮೇಗೌಡ)</t>
  </si>
  <si>
    <t>M017</t>
  </si>
  <si>
    <t>Dharani (ಧರಣಿ)</t>
  </si>
  <si>
    <t>M018</t>
  </si>
  <si>
    <t>Sanju (ಸಂಜು)</t>
  </si>
  <si>
    <t>MONTHLY CHIT RECEIVED AMOUNT ಮಾಸಿಕ ಚೀಟಿ ಸ್ವೀಕರಿಸಿದ ಮೊತ್ತ)</t>
  </si>
  <si>
    <t>Record actual Payment received from chit Members These receipts are included in Total Account Balance. (ಚಿಟ್ ಪಡೆದವರಿಂದ  ಸೇರಿ ನಿಜವಾಗಿ ಬಂದ ಪಾವತಿಯನ್ನು ದಾಖಲಿಸಿ. ಈ ಮೊತ್ತ ಖಾತೆಯ ಒಟ್ಟು ಬಾಕಿಗೆ ಸೇರುತ್ತದೆ.)</t>
  </si>
  <si>
    <t>SL No (ಕ್ರಮ ಸಂಖ್ಯೆ)</t>
  </si>
  <si>
    <t>Date (ದಿನಾಂಕ)</t>
  </si>
  <si>
    <t>Received Amount (₹) (ಸ್ವೀಕರಿಸಿದ ಮೊತ್ತ)</t>
  </si>
  <si>
    <t>Notes (ಟಿಪ್ಪಣಿಗಳು)</t>
  </si>
  <si>
    <t>ALL</t>
  </si>
  <si>
    <t>CHIT REGISTER (ಮಾಸಿಕ ಚಿಟ್ ನೋಂದಣಿ)</t>
  </si>
  <si>
    <t>Add one row per chit month (ಪ್ರತಿ ತಿಂಗಳ ಚಿಟ್‌ಗೆ ಒಂದು ಸಾಲು ಸೇರಿಸಿ). Enter actual payouts and the amount the Members must repay (ಸದಸ್ಯರು ಪಾವತಿಸಿದ ಮೊತ್ತ ಮತ್ತು ಅವರು ಮರುಪಾವತಿಸಬೇಕಾದ ಮೊತ್ತ ನಮೂದಿಸಿ); unpaid amounts are not counted as cash in the dashboard (ಪಾವತಿಯಾಗದ ಮೊತ್ತವನ್ನು ಖಾತೆ ನಗದು ಎಂದು ಪರಿಗಣಿಸಲಾಗುವುದಿಲ್ಲ).</t>
  </si>
  <si>
    <t>Total Amount Taken (₹) (ಪಡೆದ ಒಟ್ಟು ಮೊತ್ತ)</t>
  </si>
  <si>
    <t>Total Amount Taken with Interest (₹) (ಬಡ್ಡಿಯೊಂದಿಗೆ ಒಟ್ಟು ಮೊತ್ತ)</t>
  </si>
  <si>
    <t>Amount Needs to be Paid Next Month (₹) (ಮುಂದಿನ ತಿಂಗಳು ಪಾವತಿಸಬೇಕಾದ ಮೊತ್ತ)</t>
  </si>
  <si>
    <t>Payment Status (ಪಾವತಿ ಸ್ಥಿತಿ)</t>
  </si>
  <si>
    <t>MEMBER PAYMENT LEDGER (ಸದಸ್ಯರ ಪಾವತಿ ವಿವರ)</t>
  </si>
  <si>
    <t>Enter one row per member per month (ಪ್ರತಿ ಸದಸ್ಯರಿಗೆ ಪ್ರತಿ ತಿಂಗಳಿಗೆ ಒಂದು ಸಾಲು ನಮೂದಿಸಿ). Amount Paid should record actual money received, including any interest repayment received (ಬಡ್ಡಿ ಸೇರಿ ನಿಜವಾಗಿ ಬಂದ ಮೊತ್ತವನ್ನು ದಾಖಲಿಸಿ).</t>
  </si>
  <si>
    <t>Amount Paid (₹) (ಪಾವತಿಸಿದ ಮೊತ್ತ)</t>
  </si>
  <si>
    <t>Outstanding (₹) (ಬಾಕಿ ಮೊತ್ತ)</t>
  </si>
  <si>
    <t>Payment Date (ಪಾವತಿ ದಿನಾಂಕ)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</si>
</sst>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dd\-mmm\-yyyy"/>
  </numFmts>
  <fonts count="7">
    <font>
      <sz val="11"/>
      <color theme="1"/>
      <name val="Calibri"/>
      <family val="2"/>
      <scheme val="minor"/>
    </font>
    <font>
      <b/>
      <sz val="16"/>
      <color rgb="FFFFFFFF"/>
      <name val="Calibri"/>
    </font>
    <font>
      <i/>
      <sz val="11"/>
      <color rgb="FF555555"/>
      <name val="Calibri"/>
    </font>
    <font>
      <b/>
      <sz val="11"/>
      <color rgb="FFFFFFFF"/>
      <name val="Calibri"/>
    </font>
    <font>
      <b/>
      <sz val="11"/>
      <color rgb="FF1F4E78"/>
      <name val="Calibri"/>
    </font>
    <font>
      <sz val="11"/>
      <name val="Calibri"/>
    </font>
    <font>
      <b/>
      <sz val="12"/>
      <name val="Calibri"/>
    </font>
  </fonts>
  <fills count="5">
    <fill>
      <patternFill patternType="none"/>
    </fill>
    <fill>
      <patternFill patternType="gray125"/>
    </fill>
    <fill>
      <patternFill patternType="solid">
        <fgColor rgb="FFE2F0D9"/>
      </patternFill>
    </fill>
    <fill>
      <patternFill patternType="solid">
        <fgColor rgb="FF1F4E78"/>
      </patternFill>
    </fill>
    <fill>
      <patternFill patternType="solid">
        <fgColor rgb="FFF3F6F9"/>
      </patternFill>
    </fill>
  </fills>
  <borders count="2">
    <border>
      <left/>
      <right/>
      <top/>
      <bottom/>
      <diagonal/>
    </border>
    <border>
      <left/>
      <right/>
      <top/>
      <bottom style="thin">
        <color rgb="FFD9E1F2"/>
      </bottom>
      <diagonal/>
    </border>
  </borders>
  <cellStyleXfs count="1">
    <xf numFmtId="0" fontId="0" fillId="0" borderId="0"/>
  </cellStyleXfs>
  <cellXfs count="19">
    <xf numFmtId="0" fontId="0" fillId="0" borderId="0" xfId="0"/>
    <xf numFmtId="0" fontId="0" fillId="4" borderId="1" xfId="0" applyFill="1" applyBorder="1"/>
    <xf numFmtId="0" fontId="0" fillId="0" borderId="1" xfId="0" applyBorder="1"/>
    <xf numFmtId="0" fontId="0" fillId="4" borderId="1" xfId="0" applyFill="1" applyBorder="1" applyAlignment="1">
      <alignment vertical="center" wrapText="1"/>
    </xf>
    <xf numFmtId="0" fontId="0" fillId="0" borderId="1" xfId="0" applyBorder="1" applyAlignment="1">
      <alignment vertical="center" wrapText="1"/>
    </xf>
    <xf numFmtId="0" fontId="3" fillId="3" borderId="1" xfId="0" applyFont="1" applyFill="1" applyBorder="1" applyAlignment="1">
      <alignment vertical="center" wrapText="1"/>
    </xf>
    <xf numFmtId="0" fontId="5" fillId="4" borderId="1" xfId="0" applyFont="1" applyFill="1" applyBorder="1" applyAlignment="1">
      <alignment vertical="center" wrapText="1"/>
    </xf>
    <xf numFmtId="0" fontId="5" fillId="0" borderId="1" xfId="0" applyFont="1" applyBorder="1" applyAlignment="1">
      <alignment vertical="center" wrapText="1"/>
    </xf>
    <xf numFmtId="164" fontId="0" fillId="0" borderId="1" xfId="0" applyNumberFormat="1" applyBorder="1" applyAlignment="1">
      <alignment vertical="center" wrapText="1"/>
    </xf>
    <xf numFmtId="164" fontId="0" fillId="4" borderId="1" xfId="0" applyNumberFormat="1" applyFill="1" applyBorder="1" applyAlignment="1">
      <alignment vertical="center" wrapText="1"/>
    </xf>
    <xf numFmtId="0" fontId="4" fillId="2" borderId="1" xfId="0" applyFont="1" applyFill="1" applyBorder="1" applyAlignment="1">
      <alignment vertical="center" wrapText="1"/>
    </xf>
    <xf numFmtId="164" fontId="6" fillId="2" borderId="1" xfId="0" applyNumberFormat="1" applyFont="1" applyFill="1" applyBorder="1" applyAlignment="1">
      <alignment vertical="center" wrapText="1"/>
    </xf>
    <xf numFmtId="165" fontId="0" fillId="0" borderId="1" xfId="0" applyNumberFormat="1" applyBorder="1"/>
    <xf numFmtId="164" fontId="0" fillId="0" borderId="1" xfId="0" applyNumberFormat="1" applyBorder="1"/>
    <xf numFmtId="165" fontId="0" fillId="4" borderId="1" xfId="0" applyNumberFormat="1" applyFill="1" applyBorder="1"/>
    <xf numFmtId="164" fontId="0" fillId="4" borderId="1" xfId="0" applyNumberFormat="1" applyFill="1" applyBorder="1"/>
    <xf numFmtId="0" fontId="2" fillId="0" borderId="0" xfId="0" applyFont="1" applyAlignment="1">
      <alignment vertical="center" wrapText="1"/>
    </xf>
    <xf numFmtId="0" fontId="0" fillId="0" borderId="0" xfId="0"/>
    <xf numFmtId="0" fontId="1" fillId="3" borderId="0" xfId="0" applyFont="1" applyFill="1" applyAlignment="1">
      <alignment vertical="center" wrapText="1"/>
    </xf>
  </cellXfs>
  <cellStyles count="1">
    <cellStyle name="Normal" xfId="0" builtinId="0"/>
  </cellStyles>
  <dxfs count="7">
    <dxf>
      <fill>
        <patternFill patternType="solid">
          <fgColor rgb="FFFCE4D6"/>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2"/>
  <sheetViews>
    <sheetView showGridLines="0" tabSelected="1" workbookViewId="0">
      <pane ySplit="4" topLeftCell="A5" activePane="bottomLeft" state="frozen"/>
      <selection pane="bottomLeft" activeCell="B14" sqref="B14"/>
    </sheetView>
  </sheetViews>
  <sheetFormatPr defaultRowHeight="15"/>
  <cols>
    <col min="1" max="1" width="58" customWidth="1"/>
    <col min="2" max="2" width="24" customWidth="1"/>
    <col min="3" max="3" width="72" customWidth="1"/>
    <col min="4" max="4" width="4" customWidth="1"/>
  </cols>
  <sheetData>
    <row r="1" spans="1:2" ht="30" customHeight="1">
      <c r="A1" s="18" t="s">
        <v>0</v>
      </c>
      <c r="B1" s="17"/>
    </row>
    <row r="2" spans="1:2" ht="33.950000000000003" customHeight="1">
      <c r="A2" s="16" t="s">
        <v>1</v>
      </c>
      <c r="B2" s="17"/>
    </row>
    <row r="4" spans="1:2" ht="33.950000000000003" customHeight="1">
      <c r="A4" s="5" t="s">
        <v>2</v>
      </c>
      <c r="B4" s="5" t="s">
        <v>3</v>
      </c>
    </row>
    <row r="5" spans="1:2">
      <c r="A5" s="6" t="s">
        <v>4</v>
      </c>
      <c r="B5" s="3">
        <f>COUNTA('MEMBER REGISTER (ಸದಸ್ಯರ ಪಟ್ಟಿ)'!B5:B22)</f>
        <v>18</v>
      </c>
    </row>
    <row r="6" spans="1:2" ht="30" customHeight="1">
      <c r="A6" s="7" t="s">
        <v>5</v>
      </c>
      <c r="B6" s="8">
        <f>IFERROR(INDEX('MEMBER REGISTER (ಸದಸ್ಯರ ಪಟ್ಟಿ)'!C5:C500,MATCH("Bharath (ಭರತ್)",'MEMBER REGISTER (ಸದಸ್ಯರ ಪಟ್ಟಿ)'!B5:B500,0)),500)</f>
        <v>500</v>
      </c>
    </row>
    <row r="7" spans="1:2">
      <c r="A7" s="6" t="s">
        <v>6</v>
      </c>
      <c r="B7" s="9">
        <f>SUMPRODUCT(('MEMBER REGISTER (ಸದಸ್ಯರ ಪಟ್ಟಿ)'!D5:D500="Yes")*('MEMBER REGISTER (ಸದಸ್ಯರ ಪಟ್ಟಿ)'!C5:C500))</f>
        <v>9000</v>
      </c>
    </row>
    <row r="8" spans="1:2" ht="15.75" customHeight="1">
      <c r="A8" s="10" t="s">
        <v>7</v>
      </c>
      <c r="B8" s="11">
        <f>SUM('MEMBER PAYMENT LEDGER (ಸದಸ್ಯರ ಪ'!D5:D997)+SUM('RECEIVED AMOUNT ( ಸ್ವೀಕರಿಸಿದ ಮೊ'!C5:C1003)-SUM('CHIT REGISTER (ಮಾಸಿಕ ಚಿಟ್ ನೋಂದಣ'!C5:C502)</f>
        <v>1000</v>
      </c>
    </row>
    <row r="9" spans="1:2" ht="30" customHeight="1">
      <c r="A9" s="10" t="s">
        <v>8</v>
      </c>
      <c r="B9" s="11">
        <f>MAX(0,SUM('CHIT REGISTER (ಮಾಸಿಕ ಚಿಟ್ ನೋಂದಣ'!$D$5:$D$502)-SUMIFS('MEMBER PAYMENT LEDGER (ಸದಸ್ಯರ ಪ'!$D$5:$D$997,'MEMBER PAYMENT LEDGER (ಸದಸ್ಯರ ಪ'!$F$5:$F$997,"PAID"))</f>
        <v>9700</v>
      </c>
    </row>
    <row r="12" spans="1:2" ht="32.1" customHeight="1"/>
  </sheetData>
  <mergeCells count="2">
    <mergeCell ref="A2:B2"/>
    <mergeCell ref="A1:B1"/>
  </mergeCells>
  <pageMargins left="0.75" right="0.75" top="1" bottom="1" header="0.5" footer="0.5"/>
  <pageSetup fitToHeight="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2"/>
  <sheetViews>
    <sheetView showGridLines="0" workbookViewId="0">
      <pane ySplit="4" topLeftCell="A19" activePane="bottomLeft" state="frozen"/>
      <selection pane="bottomLeft" activeCell="C32" sqref="C32"/>
    </sheetView>
  </sheetViews>
  <sheetFormatPr defaultRowHeight="15"/>
  <cols>
    <col min="1" max="1" width="16" customWidth="1"/>
    <col min="2" max="2" width="43" customWidth="1"/>
    <col min="3" max="3" width="32" customWidth="1"/>
    <col min="4" max="4" width="18" customWidth="1"/>
  </cols>
  <sheetData>
    <row r="1" spans="1:4" ht="30" customHeight="1">
      <c r="A1" s="18" t="s">
        <v>9</v>
      </c>
      <c r="B1" s="17"/>
      <c r="C1" s="17"/>
      <c r="D1" s="17"/>
    </row>
    <row r="2" spans="1:4" ht="32.1" customHeight="1">
      <c r="A2" s="16" t="s">
        <v>10</v>
      </c>
      <c r="B2" s="17"/>
      <c r="C2" s="17"/>
      <c r="D2" s="17"/>
    </row>
    <row r="4" spans="1:4" ht="32.1" customHeight="1">
      <c r="A4" s="5" t="s">
        <v>11</v>
      </c>
      <c r="B4" s="5" t="s">
        <v>12</v>
      </c>
      <c r="C4" s="5" t="s">
        <v>13</v>
      </c>
      <c r="D4" s="5" t="s">
        <v>14</v>
      </c>
    </row>
    <row r="5" spans="1:4">
      <c r="A5" s="3" t="s">
        <v>15</v>
      </c>
      <c r="B5" s="3" t="s">
        <v>16</v>
      </c>
      <c r="C5" s="9">
        <v>500</v>
      </c>
      <c r="D5" s="3" t="s">
        <v>17</v>
      </c>
    </row>
    <row r="6" spans="1:4" ht="30" customHeight="1">
      <c r="A6" s="4" t="s">
        <v>18</v>
      </c>
      <c r="B6" s="4" t="s">
        <v>19</v>
      </c>
      <c r="C6" s="8">
        <v>500</v>
      </c>
      <c r="D6" s="4" t="s">
        <v>17</v>
      </c>
    </row>
    <row r="7" spans="1:4">
      <c r="A7" s="3" t="s">
        <v>20</v>
      </c>
      <c r="B7" s="3" t="s">
        <v>21</v>
      </c>
      <c r="C7" s="9">
        <v>500</v>
      </c>
      <c r="D7" s="3" t="s">
        <v>17</v>
      </c>
    </row>
    <row r="8" spans="1:4">
      <c r="A8" s="4" t="s">
        <v>22</v>
      </c>
      <c r="B8" s="4" t="s">
        <v>23</v>
      </c>
      <c r="C8" s="8">
        <v>500</v>
      </c>
      <c r="D8" s="4" t="s">
        <v>17</v>
      </c>
    </row>
    <row r="9" spans="1:4">
      <c r="A9" s="3" t="s">
        <v>24</v>
      </c>
      <c r="B9" s="3" t="s">
        <v>25</v>
      </c>
      <c r="C9" s="9">
        <v>500</v>
      </c>
      <c r="D9" s="3" t="s">
        <v>17</v>
      </c>
    </row>
    <row r="10" spans="1:4">
      <c r="A10" s="4" t="s">
        <v>26</v>
      </c>
      <c r="B10" s="4" t="s">
        <v>27</v>
      </c>
      <c r="C10" s="8">
        <v>500</v>
      </c>
      <c r="D10" s="4" t="s">
        <v>17</v>
      </c>
    </row>
    <row r="11" spans="1:4">
      <c r="A11" s="3" t="s">
        <v>28</v>
      </c>
      <c r="B11" s="3" t="s">
        <v>29</v>
      </c>
      <c r="C11" s="9">
        <v>500</v>
      </c>
      <c r="D11" s="3" t="s">
        <v>17</v>
      </c>
    </row>
    <row r="12" spans="1:4">
      <c r="A12" s="4" t="s">
        <v>30</v>
      </c>
      <c r="B12" s="4" t="s">
        <v>31</v>
      </c>
      <c r="C12" s="8">
        <v>500</v>
      </c>
      <c r="D12" s="4" t="s">
        <v>17</v>
      </c>
    </row>
    <row r="13" spans="1:4">
      <c r="A13" s="3" t="s">
        <v>32</v>
      </c>
      <c r="B13" s="3" t="s">
        <v>33</v>
      </c>
      <c r="C13" s="9">
        <v>500</v>
      </c>
      <c r="D13" s="3" t="s">
        <v>17</v>
      </c>
    </row>
    <row r="14" spans="1:4">
      <c r="A14" s="4" t="s">
        <v>34</v>
      </c>
      <c r="B14" s="4" t="s">
        <v>35</v>
      </c>
      <c r="C14" s="8">
        <v>500</v>
      </c>
      <c r="D14" s="4" t="s">
        <v>17</v>
      </c>
    </row>
    <row r="15" spans="1:4">
      <c r="A15" s="3" t="s">
        <v>36</v>
      </c>
      <c r="B15" s="3" t="s">
        <v>37</v>
      </c>
      <c r="C15" s="9">
        <v>500</v>
      </c>
      <c r="D15" s="3" t="s">
        <v>17</v>
      </c>
    </row>
    <row r="16" spans="1:4">
      <c r="A16" s="4" t="s">
        <v>38</v>
      </c>
      <c r="B16" s="4" t="s">
        <v>39</v>
      </c>
      <c r="C16" s="8">
        <v>500</v>
      </c>
      <c r="D16" s="4" t="s">
        <v>17</v>
      </c>
    </row>
    <row r="17" spans="1:4">
      <c r="A17" s="3" t="s">
        <v>40</v>
      </c>
      <c r="B17" s="3" t="s">
        <v>41</v>
      </c>
      <c r="C17" s="9">
        <v>500</v>
      </c>
      <c r="D17" s="3" t="s">
        <v>17</v>
      </c>
    </row>
    <row r="18" spans="1:4">
      <c r="A18" s="4" t="s">
        <v>42</v>
      </c>
      <c r="B18" s="4" t="s">
        <v>43</v>
      </c>
      <c r="C18" s="8">
        <v>500</v>
      </c>
      <c r="D18" s="4" t="s">
        <v>17</v>
      </c>
    </row>
    <row r="19" spans="1:4">
      <c r="A19" s="3" t="s">
        <v>44</v>
      </c>
      <c r="B19" s="3" t="s">
        <v>45</v>
      </c>
      <c r="C19" s="9">
        <v>500</v>
      </c>
      <c r="D19" s="3" t="s">
        <v>17</v>
      </c>
    </row>
    <row r="20" spans="1:4">
      <c r="A20" s="4" t="s">
        <v>46</v>
      </c>
      <c r="B20" s="4" t="s">
        <v>47</v>
      </c>
      <c r="C20" s="8">
        <v>500</v>
      </c>
      <c r="D20" s="4" t="s">
        <v>17</v>
      </c>
    </row>
    <row r="21" spans="1:4">
      <c r="A21" s="3" t="s">
        <v>48</v>
      </c>
      <c r="B21" s="3" t="s">
        <v>49</v>
      </c>
      <c r="C21" s="9">
        <v>500</v>
      </c>
      <c r="D21" s="3" t="s">
        <v>17</v>
      </c>
    </row>
    <row r="22" spans="1:4">
      <c r="A22" s="4" t="s">
        <v>50</v>
      </c>
      <c r="B22" s="4" t="s">
        <v>51</v>
      </c>
      <c r="C22" s="8">
        <v>500</v>
      </c>
      <c r="D22" s="4" t="s">
        <v>17</v>
      </c>
    </row>
  </sheetData>
  <autoFilter ref="A4:D504" xr:uid="{00000000-0009-0000-0000-000001000000}"/>
  <mergeCells count="2">
    <mergeCell ref="A1:D1"/>
    <mergeCell ref="A2:D2"/>
  </mergeCells>
  <dataValidations count="1">
    <dataValidation type="list" sqref="D5:D500" xr:uid="{00000000-0002-0000-0100-000000000000}">
      <formula1>"Yes,No"</formula1>
    </dataValidation>
  </dataValidations>
  <pageMargins left="0.75" right="0.75" top="1" bottom="1" header="0.5" footer="0.5"/>
  <pageSetup fitToHeigh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3"/>
  <sheetViews>
    <sheetView showGridLines="0" workbookViewId="0">
      <pane ySplit="4" topLeftCell="A5" activePane="bottomLeft" state="frozen"/>
      <selection pane="bottomLeft" activeCell="F13" sqref="F13"/>
    </sheetView>
  </sheetViews>
  <sheetFormatPr defaultRowHeight="15"/>
  <cols>
    <col min="1" max="2" width="20" customWidth="1"/>
    <col min="3" max="4" width="34" customWidth="1"/>
    <col min="5" max="5" width="30" customWidth="1"/>
    <col min="6" max="6" width="38" customWidth="1"/>
  </cols>
  <sheetData>
    <row r="1" spans="1:6" ht="30" customHeight="1">
      <c r="A1" s="18" t="s">
        <v>52</v>
      </c>
      <c r="B1" s="17"/>
      <c r="C1" s="17"/>
      <c r="D1" s="17"/>
      <c r="E1" s="17"/>
      <c r="F1" s="17"/>
    </row>
    <row r="2" spans="1:6" ht="33.950000000000003" customHeight="1">
      <c r="A2" s="16" t="s">
        <v>53</v>
      </c>
      <c r="B2" s="17"/>
      <c r="C2" s="17"/>
      <c r="D2" s="17"/>
      <c r="E2" s="17"/>
      <c r="F2" s="17"/>
    </row>
    <row r="4" spans="1:6" ht="33.950000000000003" customHeight="1">
      <c r="A4" s="5" t="s">
        <v>54</v>
      </c>
      <c r="B4" s="5" t="s">
        <v>55</v>
      </c>
      <c r="C4" s="5" t="s">
        <v>56</v>
      </c>
      <c r="D4" s="5" t="s">
        <v>12</v>
      </c>
      <c r="E4" s="5" t="s">
        <v>57</v>
      </c>
    </row>
    <row r="5" spans="1:6">
      <c r="A5" s="4">
        <v>1</v>
      </c>
      <c r="B5" s="12">
        <v>46307</v>
      </c>
      <c r="C5" s="13">
        <v>10000</v>
      </c>
      <c r="D5" s="2" t="s">
        <v>58</v>
      </c>
      <c r="E5" s="2"/>
    </row>
    <row r="6" spans="1:6">
      <c r="A6" s="3" t="str">
        <f t="shared" ref="A6:A68" si="0">IF(B6="","",ROW()-4)</f>
        <v/>
      </c>
      <c r="B6" s="14"/>
      <c r="C6" s="15"/>
      <c r="D6" s="1"/>
      <c r="E6" s="1"/>
    </row>
    <row r="7" spans="1:6">
      <c r="A7" s="4" t="str">
        <f t="shared" si="0"/>
        <v/>
      </c>
      <c r="B7" s="12"/>
      <c r="C7" s="13"/>
      <c r="D7" s="2"/>
      <c r="E7" s="2"/>
    </row>
    <row r="8" spans="1:6">
      <c r="A8" s="3" t="str">
        <f t="shared" si="0"/>
        <v/>
      </c>
      <c r="B8" s="14"/>
      <c r="C8" s="15"/>
      <c r="D8" s="1"/>
      <c r="E8" s="1"/>
    </row>
    <row r="9" spans="1:6">
      <c r="A9" s="4" t="str">
        <f t="shared" si="0"/>
        <v/>
      </c>
      <c r="B9" s="12"/>
      <c r="C9" s="13"/>
      <c r="D9" s="2"/>
      <c r="E9" s="2"/>
    </row>
    <row r="10" spans="1:6">
      <c r="A10" s="3" t="str">
        <f t="shared" si="0"/>
        <v/>
      </c>
      <c r="B10" s="14"/>
      <c r="C10" s="15"/>
      <c r="D10" s="1"/>
      <c r="E10" s="1"/>
    </row>
    <row r="11" spans="1:6">
      <c r="A11" s="4" t="str">
        <f t="shared" si="0"/>
        <v/>
      </c>
      <c r="B11" s="12"/>
      <c r="C11" s="13"/>
      <c r="D11" s="2"/>
      <c r="E11" s="2"/>
    </row>
    <row r="12" spans="1:6">
      <c r="A12" s="3" t="str">
        <f t="shared" si="0"/>
        <v/>
      </c>
      <c r="B12" s="14"/>
      <c r="C12" s="15"/>
      <c r="D12" s="1"/>
      <c r="E12" s="1"/>
    </row>
    <row r="13" spans="1:6">
      <c r="A13" s="4" t="str">
        <f t="shared" si="0"/>
        <v/>
      </c>
      <c r="B13" s="12"/>
      <c r="C13" s="13"/>
      <c r="D13" s="2"/>
      <c r="E13" s="2"/>
    </row>
    <row r="14" spans="1:6">
      <c r="A14" s="3" t="str">
        <f t="shared" si="0"/>
        <v/>
      </c>
      <c r="B14" s="14"/>
      <c r="C14" s="15"/>
      <c r="D14" s="1"/>
      <c r="E14" s="1"/>
    </row>
    <row r="15" spans="1:6">
      <c r="A15" s="4" t="str">
        <f t="shared" si="0"/>
        <v/>
      </c>
      <c r="B15" s="12"/>
      <c r="C15" s="13"/>
      <c r="D15" s="2"/>
      <c r="E15" s="2"/>
    </row>
    <row r="16" spans="1:6">
      <c r="A16" s="3" t="str">
        <f t="shared" si="0"/>
        <v/>
      </c>
      <c r="B16" s="14"/>
      <c r="C16" s="15"/>
      <c r="D16" s="1"/>
      <c r="E16" s="1"/>
    </row>
    <row r="17" spans="1:5">
      <c r="A17" s="4" t="str">
        <f t="shared" si="0"/>
        <v/>
      </c>
      <c r="B17" s="12"/>
      <c r="C17" s="13"/>
      <c r="D17" s="2"/>
      <c r="E17" s="2"/>
    </row>
    <row r="18" spans="1:5">
      <c r="A18" s="3" t="str">
        <f t="shared" si="0"/>
        <v/>
      </c>
      <c r="B18" s="14"/>
      <c r="C18" s="15"/>
      <c r="D18" s="1"/>
      <c r="E18" s="1"/>
    </row>
    <row r="19" spans="1:5">
      <c r="A19" s="4" t="str">
        <f t="shared" si="0"/>
        <v/>
      </c>
      <c r="B19" s="12"/>
      <c r="C19" s="13"/>
      <c r="D19" s="2"/>
      <c r="E19" s="2"/>
    </row>
    <row r="20" spans="1:5">
      <c r="A20" s="3" t="str">
        <f t="shared" si="0"/>
        <v/>
      </c>
      <c r="B20" s="14"/>
      <c r="C20" s="15"/>
      <c r="D20" s="1"/>
      <c r="E20" s="1"/>
    </row>
    <row r="21" spans="1:5">
      <c r="A21" s="4" t="str">
        <f t="shared" si="0"/>
        <v/>
      </c>
      <c r="B21" s="12"/>
      <c r="C21" s="13"/>
      <c r="D21" s="2"/>
      <c r="E21" s="2"/>
    </row>
    <row r="22" spans="1:5">
      <c r="A22" s="3" t="str">
        <f t="shared" si="0"/>
        <v/>
      </c>
      <c r="B22" s="14"/>
      <c r="C22" s="15"/>
      <c r="D22" s="1"/>
      <c r="E22" s="1"/>
    </row>
    <row r="23" spans="1:5">
      <c r="A23" s="4" t="str">
        <f t="shared" si="0"/>
        <v/>
      </c>
      <c r="B23" s="12"/>
      <c r="C23" s="13"/>
      <c r="D23" s="2"/>
      <c r="E23" s="2"/>
    </row>
    <row r="24" spans="1:5">
      <c r="A24" s="3" t="str">
        <f t="shared" si="0"/>
        <v/>
      </c>
      <c r="B24" s="14"/>
      <c r="C24" s="15"/>
      <c r="D24" s="1"/>
      <c r="E24" s="1"/>
    </row>
    <row r="25" spans="1:5">
      <c r="A25" s="4" t="str">
        <f t="shared" si="0"/>
        <v/>
      </c>
      <c r="B25" s="12"/>
      <c r="C25" s="13"/>
      <c r="D25" s="2"/>
      <c r="E25" s="2"/>
    </row>
    <row r="26" spans="1:5">
      <c r="A26" s="3" t="str">
        <f t="shared" si="0"/>
        <v/>
      </c>
      <c r="B26" s="14"/>
      <c r="C26" s="15"/>
      <c r="D26" s="1"/>
      <c r="E26" s="1"/>
    </row>
    <row r="27" spans="1:5">
      <c r="A27" s="4" t="str">
        <f t="shared" si="0"/>
        <v/>
      </c>
      <c r="B27" s="12"/>
      <c r="C27" s="13"/>
      <c r="D27" s="2"/>
      <c r="E27" s="2"/>
    </row>
    <row r="28" spans="1:5">
      <c r="A28" s="3" t="str">
        <f t="shared" si="0"/>
        <v/>
      </c>
      <c r="B28" s="14"/>
      <c r="C28" s="15"/>
      <c r="D28" s="1"/>
      <c r="E28" s="1"/>
    </row>
    <row r="29" spans="1:5">
      <c r="A29" s="4" t="str">
        <f t="shared" si="0"/>
        <v/>
      </c>
      <c r="B29" s="12"/>
      <c r="C29" s="13"/>
      <c r="D29" s="2"/>
      <c r="E29" s="2"/>
    </row>
    <row r="30" spans="1:5">
      <c r="A30" s="3" t="str">
        <f t="shared" si="0"/>
        <v/>
      </c>
      <c r="B30" s="14"/>
      <c r="C30" s="15"/>
      <c r="D30" s="1"/>
      <c r="E30" s="1"/>
    </row>
    <row r="31" spans="1:5">
      <c r="A31" s="4" t="str">
        <f t="shared" si="0"/>
        <v/>
      </c>
      <c r="B31" s="12"/>
      <c r="C31" s="13"/>
      <c r="D31" s="2"/>
      <c r="E31" s="2"/>
    </row>
    <row r="32" spans="1:5">
      <c r="A32" s="3" t="str">
        <f t="shared" si="0"/>
        <v/>
      </c>
      <c r="B32" s="14"/>
      <c r="C32" s="15"/>
      <c r="D32" s="1"/>
      <c r="E32" s="1"/>
    </row>
    <row r="33" spans="1:5">
      <c r="A33" s="4" t="str">
        <f t="shared" si="0"/>
        <v/>
      </c>
      <c r="B33" s="12"/>
      <c r="C33" s="13"/>
      <c r="D33" s="2"/>
      <c r="E33" s="2"/>
    </row>
    <row r="34" spans="1:5">
      <c r="A34" s="3" t="str">
        <f t="shared" si="0"/>
        <v/>
      </c>
      <c r="B34" s="14"/>
      <c r="C34" s="15"/>
      <c r="D34" s="1"/>
      <c r="E34" s="1"/>
    </row>
    <row r="35" spans="1:5">
      <c r="A35" s="4" t="str">
        <f t="shared" si="0"/>
        <v/>
      </c>
      <c r="B35" s="12"/>
      <c r="C35" s="13"/>
      <c r="D35" s="2"/>
      <c r="E35" s="2"/>
    </row>
    <row r="36" spans="1:5">
      <c r="A36" s="3" t="str">
        <f t="shared" si="0"/>
        <v/>
      </c>
      <c r="B36" s="14"/>
      <c r="C36" s="15"/>
      <c r="D36" s="1"/>
      <c r="E36" s="1"/>
    </row>
    <row r="37" spans="1:5">
      <c r="A37" s="4" t="str">
        <f t="shared" si="0"/>
        <v/>
      </c>
      <c r="B37" s="12"/>
      <c r="C37" s="13"/>
      <c r="D37" s="2"/>
      <c r="E37" s="2"/>
    </row>
    <row r="38" spans="1:5">
      <c r="A38" s="3" t="str">
        <f t="shared" si="0"/>
        <v/>
      </c>
      <c r="B38" s="14"/>
      <c r="C38" s="15"/>
      <c r="D38" s="1"/>
      <c r="E38" s="1"/>
    </row>
    <row r="39" spans="1:5">
      <c r="A39" s="4" t="str">
        <f t="shared" si="0"/>
        <v/>
      </c>
      <c r="B39" s="12"/>
      <c r="C39" s="13"/>
      <c r="D39" s="2"/>
      <c r="E39" s="2"/>
    </row>
    <row r="40" spans="1:5">
      <c r="A40" s="3" t="str">
        <f t="shared" si="0"/>
        <v/>
      </c>
      <c r="B40" s="14"/>
      <c r="C40" s="15"/>
      <c r="D40" s="1"/>
      <c r="E40" s="1"/>
    </row>
    <row r="41" spans="1:5">
      <c r="A41" s="4" t="str">
        <f t="shared" si="0"/>
        <v/>
      </c>
      <c r="B41" s="12"/>
      <c r="C41" s="13"/>
      <c r="D41" s="2"/>
      <c r="E41" s="2"/>
    </row>
    <row r="42" spans="1:5">
      <c r="A42" s="3" t="str">
        <f t="shared" si="0"/>
        <v/>
      </c>
      <c r="B42" s="14"/>
      <c r="C42" s="15"/>
      <c r="D42" s="1"/>
      <c r="E42" s="1"/>
    </row>
    <row r="43" spans="1:5">
      <c r="A43" s="4" t="str">
        <f t="shared" si="0"/>
        <v/>
      </c>
      <c r="B43" s="12"/>
      <c r="C43" s="13"/>
      <c r="D43" s="2"/>
      <c r="E43" s="2"/>
    </row>
    <row r="44" spans="1:5">
      <c r="A44" s="3" t="str">
        <f t="shared" si="0"/>
        <v/>
      </c>
      <c r="B44" s="14"/>
      <c r="C44" s="15"/>
      <c r="D44" s="1"/>
      <c r="E44" s="1"/>
    </row>
    <row r="45" spans="1:5">
      <c r="A45" s="4" t="str">
        <f t="shared" si="0"/>
        <v/>
      </c>
      <c r="B45" s="12"/>
      <c r="C45" s="13"/>
      <c r="D45" s="2"/>
      <c r="E45" s="2"/>
    </row>
    <row r="46" spans="1:5">
      <c r="A46" s="3" t="str">
        <f t="shared" si="0"/>
        <v/>
      </c>
      <c r="B46" s="14"/>
      <c r="C46" s="15"/>
      <c r="D46" s="1"/>
      <c r="E46" s="1"/>
    </row>
    <row r="47" spans="1:5">
      <c r="A47" s="4" t="str">
        <f t="shared" si="0"/>
        <v/>
      </c>
      <c r="B47" s="12"/>
      <c r="C47" s="13"/>
      <c r="D47" s="2"/>
      <c r="E47" s="2"/>
    </row>
    <row r="48" spans="1:5">
      <c r="A48" s="3" t="str">
        <f t="shared" si="0"/>
        <v/>
      </c>
      <c r="B48" s="14"/>
      <c r="C48" s="15"/>
      <c r="D48" s="1"/>
      <c r="E48" s="1"/>
    </row>
    <row r="49" spans="1:5">
      <c r="A49" s="4" t="str">
        <f t="shared" si="0"/>
        <v/>
      </c>
      <c r="B49" s="12"/>
      <c r="C49" s="13"/>
      <c r="D49" s="2"/>
      <c r="E49" s="2"/>
    </row>
    <row r="50" spans="1:5">
      <c r="A50" s="3" t="str">
        <f t="shared" si="0"/>
        <v/>
      </c>
      <c r="B50" s="14"/>
      <c r="C50" s="15"/>
      <c r="D50" s="1"/>
      <c r="E50" s="1"/>
    </row>
    <row r="51" spans="1:5">
      <c r="A51" s="4" t="str">
        <f t="shared" si="0"/>
        <v/>
      </c>
      <c r="B51" s="12"/>
      <c r="C51" s="13"/>
      <c r="D51" s="2"/>
      <c r="E51" s="2"/>
    </row>
    <row r="52" spans="1:5">
      <c r="A52" s="3" t="str">
        <f t="shared" si="0"/>
        <v/>
      </c>
      <c r="B52" s="14"/>
      <c r="C52" s="15"/>
      <c r="D52" s="1"/>
      <c r="E52" s="1"/>
    </row>
    <row r="53" spans="1:5">
      <c r="A53" s="4" t="str">
        <f t="shared" si="0"/>
        <v/>
      </c>
      <c r="B53" s="12"/>
      <c r="C53" s="13"/>
      <c r="D53" s="2"/>
      <c r="E53" s="2"/>
    </row>
    <row r="54" spans="1:5">
      <c r="A54" s="3" t="str">
        <f t="shared" si="0"/>
        <v/>
      </c>
      <c r="B54" s="14"/>
      <c r="C54" s="15"/>
      <c r="D54" s="1"/>
      <c r="E54" s="1"/>
    </row>
    <row r="55" spans="1:5">
      <c r="A55" s="4" t="str">
        <f t="shared" si="0"/>
        <v/>
      </c>
      <c r="B55" s="12"/>
      <c r="C55" s="13"/>
      <c r="D55" s="2"/>
      <c r="E55" s="2"/>
    </row>
    <row r="56" spans="1:5">
      <c r="A56" s="3" t="str">
        <f t="shared" si="0"/>
        <v/>
      </c>
      <c r="B56" s="14"/>
      <c r="C56" s="15"/>
      <c r="D56" s="1"/>
      <c r="E56" s="1"/>
    </row>
    <row r="57" spans="1:5">
      <c r="A57" s="4" t="str">
        <f t="shared" si="0"/>
        <v/>
      </c>
      <c r="B57" s="12"/>
      <c r="C57" s="13"/>
      <c r="D57" s="2"/>
      <c r="E57" s="2"/>
    </row>
    <row r="58" spans="1:5">
      <c r="A58" s="3" t="str">
        <f t="shared" si="0"/>
        <v/>
      </c>
      <c r="B58" s="14"/>
      <c r="C58" s="15"/>
      <c r="D58" s="1"/>
      <c r="E58" s="1"/>
    </row>
    <row r="59" spans="1:5">
      <c r="A59" s="4" t="str">
        <f t="shared" si="0"/>
        <v/>
      </c>
      <c r="B59" s="12"/>
      <c r="C59" s="13"/>
      <c r="D59" s="2"/>
      <c r="E59" s="2"/>
    </row>
    <row r="60" spans="1:5">
      <c r="A60" s="3" t="str">
        <f t="shared" si="0"/>
        <v/>
      </c>
      <c r="B60" s="14"/>
      <c r="C60" s="15"/>
      <c r="D60" s="1"/>
      <c r="E60" s="1"/>
    </row>
    <row r="61" spans="1:5">
      <c r="A61" s="4" t="str">
        <f t="shared" si="0"/>
        <v/>
      </c>
      <c r="B61" s="12"/>
      <c r="C61" s="13"/>
      <c r="D61" s="2"/>
      <c r="E61" s="2"/>
    </row>
    <row r="62" spans="1:5">
      <c r="A62" s="3" t="str">
        <f t="shared" si="0"/>
        <v/>
      </c>
      <c r="B62" s="14"/>
      <c r="C62" s="15"/>
      <c r="D62" s="1"/>
      <c r="E62" s="1"/>
    </row>
    <row r="63" spans="1:5">
      <c r="A63" s="4" t="str">
        <f t="shared" si="0"/>
        <v/>
      </c>
      <c r="B63" s="12"/>
      <c r="C63" s="13"/>
      <c r="D63" s="2"/>
      <c r="E63" s="2"/>
    </row>
    <row r="64" spans="1:5">
      <c r="A64" s="3" t="str">
        <f t="shared" si="0"/>
        <v/>
      </c>
      <c r="B64" s="14"/>
      <c r="C64" s="15"/>
      <c r="D64" s="1"/>
      <c r="E64" s="1"/>
    </row>
    <row r="65" spans="1:5">
      <c r="A65" s="4" t="str">
        <f t="shared" si="0"/>
        <v/>
      </c>
      <c r="B65" s="12"/>
      <c r="C65" s="13"/>
      <c r="D65" s="2"/>
      <c r="E65" s="2"/>
    </row>
    <row r="66" spans="1:5">
      <c r="A66" s="3" t="str">
        <f t="shared" si="0"/>
        <v/>
      </c>
      <c r="B66" s="14"/>
      <c r="C66" s="15"/>
      <c r="D66" s="1"/>
      <c r="E66" s="1"/>
    </row>
    <row r="67" spans="1:5">
      <c r="A67" s="4" t="str">
        <f t="shared" si="0"/>
        <v/>
      </c>
      <c r="B67" s="12"/>
      <c r="C67" s="13"/>
      <c r="D67" s="2"/>
      <c r="E67" s="2"/>
    </row>
    <row r="68" spans="1:5">
      <c r="A68" s="3" t="str">
        <f t="shared" si="0"/>
        <v/>
      </c>
      <c r="B68" s="14"/>
      <c r="C68" s="15"/>
      <c r="D68" s="1"/>
      <c r="E68" s="1"/>
    </row>
    <row r="69" spans="1:5">
      <c r="A69" s="4" t="str">
        <f t="shared" ref="A69:A132" si="1">IF(B69="","",ROW()-4)</f>
        <v/>
      </c>
      <c r="B69" s="12"/>
      <c r="C69" s="13"/>
      <c r="D69" s="2"/>
      <c r="E69" s="2"/>
    </row>
    <row r="70" spans="1:5">
      <c r="A70" s="3" t="str">
        <f t="shared" si="1"/>
        <v/>
      </c>
      <c r="B70" s="14"/>
      <c r="C70" s="15"/>
      <c r="D70" s="1"/>
      <c r="E70" s="1"/>
    </row>
    <row r="71" spans="1:5">
      <c r="A71" s="4" t="str">
        <f t="shared" si="1"/>
        <v/>
      </c>
      <c r="B71" s="12"/>
      <c r="C71" s="13"/>
      <c r="D71" s="2"/>
      <c r="E71" s="2"/>
    </row>
    <row r="72" spans="1:5">
      <c r="A72" s="3" t="str">
        <f t="shared" si="1"/>
        <v/>
      </c>
      <c r="B72" s="14"/>
      <c r="C72" s="15"/>
      <c r="D72" s="1"/>
      <c r="E72" s="1"/>
    </row>
    <row r="73" spans="1:5">
      <c r="A73" s="4" t="str">
        <f t="shared" si="1"/>
        <v/>
      </c>
      <c r="B73" s="12"/>
      <c r="C73" s="13"/>
      <c r="D73" s="2"/>
      <c r="E73" s="2"/>
    </row>
    <row r="74" spans="1:5">
      <c r="A74" s="3" t="str">
        <f t="shared" si="1"/>
        <v/>
      </c>
      <c r="B74" s="14"/>
      <c r="C74" s="15"/>
      <c r="D74" s="1"/>
      <c r="E74" s="1"/>
    </row>
    <row r="75" spans="1:5">
      <c r="A75" s="4" t="str">
        <f t="shared" si="1"/>
        <v/>
      </c>
      <c r="B75" s="12"/>
      <c r="C75" s="13"/>
      <c r="D75" s="2"/>
      <c r="E75" s="2"/>
    </row>
    <row r="76" spans="1:5">
      <c r="A76" s="3" t="str">
        <f t="shared" si="1"/>
        <v/>
      </c>
      <c r="B76" s="14"/>
      <c r="C76" s="15"/>
      <c r="D76" s="1"/>
      <c r="E76" s="1"/>
    </row>
    <row r="77" spans="1:5">
      <c r="A77" s="4" t="str">
        <f t="shared" si="1"/>
        <v/>
      </c>
      <c r="B77" s="12"/>
      <c r="C77" s="13"/>
      <c r="D77" s="2"/>
      <c r="E77" s="2"/>
    </row>
    <row r="78" spans="1:5">
      <c r="A78" s="3" t="str">
        <f t="shared" si="1"/>
        <v/>
      </c>
      <c r="B78" s="14"/>
      <c r="C78" s="15"/>
      <c r="D78" s="1"/>
      <c r="E78" s="1"/>
    </row>
    <row r="79" spans="1:5">
      <c r="A79" s="4" t="str">
        <f t="shared" si="1"/>
        <v/>
      </c>
      <c r="B79" s="12"/>
      <c r="C79" s="13"/>
      <c r="D79" s="2"/>
      <c r="E79" s="2"/>
    </row>
    <row r="80" spans="1:5">
      <c r="A80" s="3" t="str">
        <f t="shared" si="1"/>
        <v/>
      </c>
      <c r="B80" s="14"/>
      <c r="C80" s="15"/>
      <c r="D80" s="1"/>
      <c r="E80" s="1"/>
    </row>
    <row r="81" spans="1:5">
      <c r="A81" s="4" t="str">
        <f t="shared" si="1"/>
        <v/>
      </c>
      <c r="B81" s="12"/>
      <c r="C81" s="13"/>
      <c r="D81" s="2"/>
      <c r="E81" s="2"/>
    </row>
    <row r="82" spans="1:5">
      <c r="A82" s="3" t="str">
        <f t="shared" si="1"/>
        <v/>
      </c>
      <c r="B82" s="14"/>
      <c r="C82" s="15"/>
      <c r="D82" s="1"/>
      <c r="E82" s="1"/>
    </row>
    <row r="83" spans="1:5">
      <c r="A83" s="4" t="str">
        <f t="shared" si="1"/>
        <v/>
      </c>
      <c r="B83" s="12"/>
      <c r="C83" s="13"/>
      <c r="D83" s="2"/>
      <c r="E83" s="2"/>
    </row>
    <row r="84" spans="1:5">
      <c r="A84" s="3" t="str">
        <f t="shared" si="1"/>
        <v/>
      </c>
      <c r="B84" s="14"/>
      <c r="C84" s="15"/>
      <c r="D84" s="1"/>
      <c r="E84" s="1"/>
    </row>
    <row r="85" spans="1:5">
      <c r="A85" s="4" t="str">
        <f t="shared" si="1"/>
        <v/>
      </c>
      <c r="B85" s="12"/>
      <c r="C85" s="13"/>
      <c r="D85" s="2"/>
      <c r="E85" s="2"/>
    </row>
    <row r="86" spans="1:5">
      <c r="A86" s="3" t="str">
        <f t="shared" si="1"/>
        <v/>
      </c>
      <c r="B86" s="14"/>
      <c r="C86" s="15"/>
      <c r="D86" s="1"/>
      <c r="E86" s="1"/>
    </row>
    <row r="87" spans="1:5">
      <c r="A87" s="4" t="str">
        <f t="shared" si="1"/>
        <v/>
      </c>
      <c r="B87" s="12"/>
      <c r="C87" s="13"/>
      <c r="D87" s="2"/>
      <c r="E87" s="2"/>
    </row>
    <row r="88" spans="1:5">
      <c r="A88" s="3" t="str">
        <f t="shared" si="1"/>
        <v/>
      </c>
      <c r="B88" s="14"/>
      <c r="C88" s="15"/>
      <c r="D88" s="1"/>
      <c r="E88" s="1"/>
    </row>
    <row r="89" spans="1:5">
      <c r="A89" s="4" t="str">
        <f t="shared" si="1"/>
        <v/>
      </c>
      <c r="B89" s="12"/>
      <c r="C89" s="13"/>
      <c r="D89" s="2"/>
      <c r="E89" s="2"/>
    </row>
    <row r="90" spans="1:5">
      <c r="A90" s="3" t="str">
        <f t="shared" si="1"/>
        <v/>
      </c>
      <c r="B90" s="14"/>
      <c r="C90" s="15"/>
      <c r="D90" s="1"/>
      <c r="E90" s="1"/>
    </row>
    <row r="91" spans="1:5">
      <c r="A91" s="4" t="str">
        <f t="shared" si="1"/>
        <v/>
      </c>
      <c r="B91" s="12"/>
      <c r="C91" s="13"/>
      <c r="D91" s="2"/>
      <c r="E91" s="2"/>
    </row>
    <row r="92" spans="1:5">
      <c r="A92" s="3" t="str">
        <f t="shared" si="1"/>
        <v/>
      </c>
      <c r="B92" s="14"/>
      <c r="C92" s="15"/>
      <c r="D92" s="1"/>
      <c r="E92" s="1"/>
    </row>
    <row r="93" spans="1:5">
      <c r="A93" s="4" t="str">
        <f t="shared" si="1"/>
        <v/>
      </c>
      <c r="B93" s="12"/>
      <c r="C93" s="13"/>
      <c r="D93" s="2"/>
      <c r="E93" s="2"/>
    </row>
    <row r="94" spans="1:5">
      <c r="A94" s="3" t="str">
        <f t="shared" si="1"/>
        <v/>
      </c>
      <c r="B94" s="14"/>
      <c r="C94" s="15"/>
      <c r="D94" s="1"/>
      <c r="E94" s="1"/>
    </row>
    <row r="95" spans="1:5">
      <c r="A95" s="4" t="str">
        <f t="shared" si="1"/>
        <v/>
      </c>
      <c r="B95" s="12"/>
      <c r="C95" s="13"/>
      <c r="D95" s="2"/>
      <c r="E95" s="2"/>
    </row>
    <row r="96" spans="1:5">
      <c r="A96" s="3" t="str">
        <f t="shared" si="1"/>
        <v/>
      </c>
      <c r="B96" s="14"/>
      <c r="C96" s="15"/>
      <c r="D96" s="1"/>
      <c r="E96" s="1"/>
    </row>
    <row r="97" spans="1:5">
      <c r="A97" s="4" t="str">
        <f t="shared" si="1"/>
        <v/>
      </c>
      <c r="B97" s="12"/>
      <c r="C97" s="13"/>
      <c r="D97" s="2"/>
      <c r="E97" s="2"/>
    </row>
    <row r="98" spans="1:5">
      <c r="A98" s="3" t="str">
        <f t="shared" si="1"/>
        <v/>
      </c>
      <c r="B98" s="14"/>
      <c r="C98" s="15"/>
      <c r="D98" s="1"/>
      <c r="E98" s="1"/>
    </row>
    <row r="99" spans="1:5">
      <c r="A99" s="4" t="str">
        <f t="shared" si="1"/>
        <v/>
      </c>
      <c r="B99" s="12"/>
      <c r="C99" s="13"/>
      <c r="D99" s="2"/>
      <c r="E99" s="2"/>
    </row>
    <row r="100" spans="1:5">
      <c r="A100" s="3" t="str">
        <f t="shared" si="1"/>
        <v/>
      </c>
      <c r="B100" s="14"/>
      <c r="C100" s="15"/>
      <c r="D100" s="1"/>
      <c r="E100" s="1"/>
    </row>
    <row r="101" spans="1:5">
      <c r="A101" s="4" t="str">
        <f t="shared" si="1"/>
        <v/>
      </c>
      <c r="B101" s="12"/>
      <c r="C101" s="13"/>
      <c r="D101" s="2"/>
      <c r="E101" s="2"/>
    </row>
    <row r="102" spans="1:5">
      <c r="A102" s="3" t="str">
        <f t="shared" si="1"/>
        <v/>
      </c>
      <c r="B102" s="14"/>
      <c r="C102" s="15"/>
      <c r="D102" s="1"/>
      <c r="E102" s="1"/>
    </row>
    <row r="103" spans="1:5">
      <c r="A103" s="4" t="str">
        <f t="shared" si="1"/>
        <v/>
      </c>
      <c r="B103" s="12"/>
      <c r="C103" s="13"/>
      <c r="D103" s="2"/>
      <c r="E103" s="2"/>
    </row>
    <row r="104" spans="1:5">
      <c r="A104" s="3" t="str">
        <f t="shared" si="1"/>
        <v/>
      </c>
      <c r="B104" s="14"/>
      <c r="C104" s="15"/>
      <c r="D104" s="1"/>
      <c r="E104" s="1"/>
    </row>
    <row r="105" spans="1:5">
      <c r="A105" s="4" t="str">
        <f t="shared" si="1"/>
        <v/>
      </c>
      <c r="B105" s="12"/>
      <c r="C105" s="13"/>
      <c r="D105" s="2"/>
      <c r="E105" s="2"/>
    </row>
    <row r="106" spans="1:5">
      <c r="A106" s="3" t="str">
        <f t="shared" si="1"/>
        <v/>
      </c>
      <c r="B106" s="14"/>
      <c r="C106" s="15"/>
      <c r="D106" s="1"/>
      <c r="E106" s="1"/>
    </row>
    <row r="107" spans="1:5">
      <c r="A107" s="4" t="str">
        <f t="shared" si="1"/>
        <v/>
      </c>
      <c r="B107" s="12"/>
      <c r="C107" s="13"/>
      <c r="D107" s="2"/>
      <c r="E107" s="2"/>
    </row>
    <row r="108" spans="1:5">
      <c r="A108" s="3" t="str">
        <f t="shared" si="1"/>
        <v/>
      </c>
      <c r="B108" s="14"/>
      <c r="C108" s="15"/>
      <c r="D108" s="1"/>
      <c r="E108" s="1"/>
    </row>
    <row r="109" spans="1:5">
      <c r="A109" s="4" t="str">
        <f t="shared" si="1"/>
        <v/>
      </c>
      <c r="B109" s="12"/>
      <c r="C109" s="13"/>
      <c r="D109" s="2"/>
      <c r="E109" s="2"/>
    </row>
    <row r="110" spans="1:5">
      <c r="A110" s="3" t="str">
        <f t="shared" si="1"/>
        <v/>
      </c>
      <c r="B110" s="14"/>
      <c r="C110" s="15"/>
      <c r="D110" s="1"/>
      <c r="E110" s="1"/>
    </row>
    <row r="111" spans="1:5">
      <c r="A111" s="4" t="str">
        <f t="shared" si="1"/>
        <v/>
      </c>
      <c r="B111" s="12"/>
      <c r="C111" s="13"/>
      <c r="D111" s="2"/>
      <c r="E111" s="2"/>
    </row>
    <row r="112" spans="1:5">
      <c r="A112" s="3" t="str">
        <f t="shared" si="1"/>
        <v/>
      </c>
      <c r="B112" s="14"/>
      <c r="C112" s="15"/>
      <c r="D112" s="1"/>
      <c r="E112" s="1"/>
    </row>
    <row r="113" spans="1:5">
      <c r="A113" s="4" t="str">
        <f t="shared" si="1"/>
        <v/>
      </c>
      <c r="B113" s="12"/>
      <c r="C113" s="13"/>
      <c r="D113" s="2"/>
      <c r="E113" s="2"/>
    </row>
    <row r="114" spans="1:5">
      <c r="A114" s="3" t="str">
        <f t="shared" si="1"/>
        <v/>
      </c>
      <c r="B114" s="14"/>
      <c r="C114" s="15"/>
      <c r="D114" s="1"/>
      <c r="E114" s="1"/>
    </row>
    <row r="115" spans="1:5">
      <c r="A115" s="4" t="str">
        <f t="shared" si="1"/>
        <v/>
      </c>
      <c r="B115" s="12"/>
      <c r="C115" s="13"/>
      <c r="D115" s="2"/>
      <c r="E115" s="2"/>
    </row>
    <row r="116" spans="1:5">
      <c r="A116" s="3" t="str">
        <f t="shared" si="1"/>
        <v/>
      </c>
      <c r="B116" s="14"/>
      <c r="C116" s="15"/>
      <c r="D116" s="1"/>
      <c r="E116" s="1"/>
    </row>
    <row r="117" spans="1:5">
      <c r="A117" s="4" t="str">
        <f t="shared" si="1"/>
        <v/>
      </c>
      <c r="B117" s="12"/>
      <c r="C117" s="13"/>
      <c r="D117" s="2"/>
      <c r="E117" s="2"/>
    </row>
    <row r="118" spans="1:5">
      <c r="A118" s="3" t="str">
        <f t="shared" si="1"/>
        <v/>
      </c>
      <c r="B118" s="14"/>
      <c r="C118" s="15"/>
      <c r="D118" s="1"/>
      <c r="E118" s="1"/>
    </row>
    <row r="119" spans="1:5">
      <c r="A119" s="4" t="str">
        <f t="shared" si="1"/>
        <v/>
      </c>
      <c r="B119" s="12"/>
      <c r="C119" s="13"/>
      <c r="D119" s="2"/>
      <c r="E119" s="2"/>
    </row>
    <row r="120" spans="1:5">
      <c r="A120" s="3" t="str">
        <f t="shared" si="1"/>
        <v/>
      </c>
      <c r="B120" s="14"/>
      <c r="C120" s="15"/>
      <c r="D120" s="1"/>
      <c r="E120" s="1"/>
    </row>
    <row r="121" spans="1:5">
      <c r="A121" s="4" t="str">
        <f t="shared" si="1"/>
        <v/>
      </c>
      <c r="B121" s="12"/>
      <c r="C121" s="13"/>
      <c r="D121" s="2"/>
      <c r="E121" s="2"/>
    </row>
    <row r="122" spans="1:5">
      <c r="A122" s="3" t="str">
        <f t="shared" si="1"/>
        <v/>
      </c>
      <c r="B122" s="14"/>
      <c r="C122" s="15"/>
      <c r="D122" s="1"/>
      <c r="E122" s="1"/>
    </row>
    <row r="123" spans="1:5">
      <c r="A123" s="4" t="str">
        <f t="shared" si="1"/>
        <v/>
      </c>
      <c r="B123" s="12"/>
      <c r="C123" s="13"/>
      <c r="D123" s="2"/>
      <c r="E123" s="2"/>
    </row>
    <row r="124" spans="1:5">
      <c r="A124" s="3" t="str">
        <f t="shared" si="1"/>
        <v/>
      </c>
      <c r="B124" s="14"/>
      <c r="C124" s="15"/>
      <c r="D124" s="1"/>
      <c r="E124" s="1"/>
    </row>
    <row r="125" spans="1:5">
      <c r="A125" s="4" t="str">
        <f t="shared" si="1"/>
        <v/>
      </c>
      <c r="B125" s="12"/>
      <c r="C125" s="13"/>
      <c r="D125" s="2"/>
      <c r="E125" s="2"/>
    </row>
    <row r="126" spans="1:5">
      <c r="A126" s="3" t="str">
        <f t="shared" si="1"/>
        <v/>
      </c>
      <c r="B126" s="14"/>
      <c r="C126" s="15"/>
      <c r="D126" s="1"/>
      <c r="E126" s="1"/>
    </row>
    <row r="127" spans="1:5">
      <c r="A127" s="4" t="str">
        <f t="shared" si="1"/>
        <v/>
      </c>
      <c r="B127" s="12"/>
      <c r="C127" s="13"/>
      <c r="D127" s="2"/>
      <c r="E127" s="2"/>
    </row>
    <row r="128" spans="1:5">
      <c r="A128" s="3" t="str">
        <f t="shared" si="1"/>
        <v/>
      </c>
      <c r="B128" s="14"/>
      <c r="C128" s="15"/>
      <c r="D128" s="1"/>
      <c r="E128" s="1"/>
    </row>
    <row r="129" spans="1:5">
      <c r="A129" s="4" t="str">
        <f t="shared" si="1"/>
        <v/>
      </c>
      <c r="B129" s="12"/>
      <c r="C129" s="13"/>
      <c r="D129" s="2"/>
      <c r="E129" s="2"/>
    </row>
    <row r="130" spans="1:5">
      <c r="A130" s="3" t="str">
        <f t="shared" si="1"/>
        <v/>
      </c>
      <c r="B130" s="14"/>
      <c r="C130" s="15"/>
      <c r="D130" s="1"/>
      <c r="E130" s="1"/>
    </row>
    <row r="131" spans="1:5">
      <c r="A131" s="4" t="str">
        <f t="shared" si="1"/>
        <v/>
      </c>
      <c r="B131" s="12"/>
      <c r="C131" s="13"/>
      <c r="D131" s="2"/>
      <c r="E131" s="2"/>
    </row>
    <row r="132" spans="1:5">
      <c r="A132" s="3" t="str">
        <f t="shared" si="1"/>
        <v/>
      </c>
      <c r="B132" s="14"/>
      <c r="C132" s="15"/>
      <c r="D132" s="1"/>
      <c r="E132" s="1"/>
    </row>
    <row r="133" spans="1:5">
      <c r="A133" s="4" t="str">
        <f t="shared" ref="A133:A196" si="2">IF(B133="","",ROW()-4)</f>
        <v/>
      </c>
      <c r="B133" s="12"/>
      <c r="C133" s="13"/>
      <c r="D133" s="2"/>
      <c r="E133" s="2"/>
    </row>
    <row r="134" spans="1:5">
      <c r="A134" s="3" t="str">
        <f t="shared" si="2"/>
        <v/>
      </c>
      <c r="B134" s="14"/>
      <c r="C134" s="15"/>
      <c r="D134" s="1"/>
      <c r="E134" s="1"/>
    </row>
    <row r="135" spans="1:5">
      <c r="A135" s="4" t="str">
        <f t="shared" si="2"/>
        <v/>
      </c>
      <c r="B135" s="12"/>
      <c r="C135" s="13"/>
      <c r="D135" s="2"/>
      <c r="E135" s="2"/>
    </row>
    <row r="136" spans="1:5">
      <c r="A136" s="3" t="str">
        <f t="shared" si="2"/>
        <v/>
      </c>
      <c r="B136" s="14"/>
      <c r="C136" s="15"/>
      <c r="D136" s="1"/>
      <c r="E136" s="1"/>
    </row>
    <row r="137" spans="1:5">
      <c r="A137" s="4" t="str">
        <f t="shared" si="2"/>
        <v/>
      </c>
      <c r="B137" s="12"/>
      <c r="C137" s="13"/>
      <c r="D137" s="2"/>
      <c r="E137" s="2"/>
    </row>
    <row r="138" spans="1:5">
      <c r="A138" s="3" t="str">
        <f t="shared" si="2"/>
        <v/>
      </c>
      <c r="B138" s="14"/>
      <c r="C138" s="15"/>
      <c r="D138" s="1"/>
      <c r="E138" s="1"/>
    </row>
    <row r="139" spans="1:5">
      <c r="A139" s="4" t="str">
        <f t="shared" si="2"/>
        <v/>
      </c>
      <c r="B139" s="12"/>
      <c r="C139" s="13"/>
      <c r="D139" s="2"/>
      <c r="E139" s="2"/>
    </row>
    <row r="140" spans="1:5">
      <c r="A140" s="3" t="str">
        <f t="shared" si="2"/>
        <v/>
      </c>
      <c r="B140" s="14"/>
      <c r="C140" s="15"/>
      <c r="D140" s="1"/>
      <c r="E140" s="1"/>
    </row>
    <row r="141" spans="1:5">
      <c r="A141" s="4" t="str">
        <f t="shared" si="2"/>
        <v/>
      </c>
      <c r="B141" s="12"/>
      <c r="C141" s="13"/>
      <c r="D141" s="2"/>
      <c r="E141" s="2"/>
    </row>
    <row r="142" spans="1:5">
      <c r="A142" s="3" t="str">
        <f t="shared" si="2"/>
        <v/>
      </c>
      <c r="B142" s="14"/>
      <c r="C142" s="15"/>
      <c r="D142" s="1"/>
      <c r="E142" s="1"/>
    </row>
    <row r="143" spans="1:5">
      <c r="A143" s="4" t="str">
        <f t="shared" si="2"/>
        <v/>
      </c>
      <c r="B143" s="12"/>
      <c r="C143" s="13"/>
      <c r="D143" s="2"/>
      <c r="E143" s="2"/>
    </row>
    <row r="144" spans="1:5">
      <c r="A144" s="3" t="str">
        <f t="shared" si="2"/>
        <v/>
      </c>
      <c r="B144" s="14"/>
      <c r="C144" s="15"/>
      <c r="D144" s="1"/>
      <c r="E144" s="1"/>
    </row>
    <row r="145" spans="1:5">
      <c r="A145" s="4" t="str">
        <f t="shared" si="2"/>
        <v/>
      </c>
      <c r="B145" s="12"/>
      <c r="C145" s="13"/>
      <c r="D145" s="2"/>
      <c r="E145" s="2"/>
    </row>
    <row r="146" spans="1:5">
      <c r="A146" s="3" t="str">
        <f t="shared" si="2"/>
        <v/>
      </c>
      <c r="B146" s="14"/>
      <c r="C146" s="15"/>
      <c r="D146" s="1"/>
      <c r="E146" s="1"/>
    </row>
    <row r="147" spans="1:5">
      <c r="A147" s="4" t="str">
        <f t="shared" si="2"/>
        <v/>
      </c>
      <c r="B147" s="12"/>
      <c r="C147" s="13"/>
      <c r="D147" s="2"/>
      <c r="E147" s="2"/>
    </row>
    <row r="148" spans="1:5">
      <c r="A148" s="3" t="str">
        <f t="shared" si="2"/>
        <v/>
      </c>
      <c r="B148" s="14"/>
      <c r="C148" s="15"/>
      <c r="D148" s="1"/>
      <c r="E148" s="1"/>
    </row>
    <row r="149" spans="1:5">
      <c r="A149" s="4" t="str">
        <f t="shared" si="2"/>
        <v/>
      </c>
      <c r="B149" s="12"/>
      <c r="C149" s="13"/>
      <c r="D149" s="2"/>
      <c r="E149" s="2"/>
    </row>
    <row r="150" spans="1:5">
      <c r="A150" s="3" t="str">
        <f t="shared" si="2"/>
        <v/>
      </c>
      <c r="B150" s="14"/>
      <c r="C150" s="15"/>
      <c r="D150" s="1"/>
      <c r="E150" s="1"/>
    </row>
    <row r="151" spans="1:5">
      <c r="A151" s="4" t="str">
        <f t="shared" si="2"/>
        <v/>
      </c>
      <c r="B151" s="12"/>
      <c r="C151" s="13"/>
      <c r="D151" s="2"/>
      <c r="E151" s="2"/>
    </row>
    <row r="152" spans="1:5">
      <c r="A152" s="3" t="str">
        <f t="shared" si="2"/>
        <v/>
      </c>
      <c r="B152" s="14"/>
      <c r="C152" s="15"/>
      <c r="D152" s="1"/>
      <c r="E152" s="1"/>
    </row>
    <row r="153" spans="1:5">
      <c r="A153" s="4" t="str">
        <f t="shared" si="2"/>
        <v/>
      </c>
      <c r="B153" s="12"/>
      <c r="C153" s="13"/>
      <c r="D153" s="2"/>
      <c r="E153" s="2"/>
    </row>
    <row r="154" spans="1:5">
      <c r="A154" s="3" t="str">
        <f t="shared" si="2"/>
        <v/>
      </c>
      <c r="B154" s="14"/>
      <c r="C154" s="15"/>
      <c r="D154" s="1"/>
      <c r="E154" s="1"/>
    </row>
    <row r="155" spans="1:5">
      <c r="A155" s="4" t="str">
        <f t="shared" si="2"/>
        <v/>
      </c>
      <c r="B155" s="12"/>
      <c r="C155" s="13"/>
      <c r="D155" s="2"/>
      <c r="E155" s="2"/>
    </row>
    <row r="156" spans="1:5">
      <c r="A156" s="3" t="str">
        <f t="shared" si="2"/>
        <v/>
      </c>
      <c r="B156" s="14"/>
      <c r="C156" s="15"/>
      <c r="D156" s="1"/>
      <c r="E156" s="1"/>
    </row>
    <row r="157" spans="1:5">
      <c r="A157" s="4" t="str">
        <f t="shared" si="2"/>
        <v/>
      </c>
      <c r="B157" s="12"/>
      <c r="C157" s="13"/>
      <c r="D157" s="2"/>
      <c r="E157" s="2"/>
    </row>
    <row r="158" spans="1:5">
      <c r="A158" s="3" t="str">
        <f t="shared" si="2"/>
        <v/>
      </c>
      <c r="B158" s="14"/>
      <c r="C158" s="15"/>
      <c r="D158" s="1"/>
      <c r="E158" s="1"/>
    </row>
    <row r="159" spans="1:5">
      <c r="A159" s="4" t="str">
        <f t="shared" si="2"/>
        <v/>
      </c>
      <c r="B159" s="12"/>
      <c r="C159" s="13"/>
      <c r="D159" s="2"/>
      <c r="E159" s="2"/>
    </row>
    <row r="160" spans="1:5">
      <c r="A160" s="3" t="str">
        <f t="shared" si="2"/>
        <v/>
      </c>
      <c r="B160" s="14"/>
      <c r="C160" s="15"/>
      <c r="D160" s="1"/>
      <c r="E160" s="1"/>
    </row>
    <row r="161" spans="1:5">
      <c r="A161" s="4" t="str">
        <f t="shared" si="2"/>
        <v/>
      </c>
      <c r="B161" s="12"/>
      <c r="C161" s="13"/>
      <c r="D161" s="2"/>
      <c r="E161" s="2"/>
    </row>
    <row r="162" spans="1:5">
      <c r="A162" s="3" t="str">
        <f t="shared" si="2"/>
        <v/>
      </c>
      <c r="B162" s="14"/>
      <c r="C162" s="15"/>
      <c r="D162" s="1"/>
      <c r="E162" s="1"/>
    </row>
    <row r="163" spans="1:5">
      <c r="A163" s="4" t="str">
        <f t="shared" si="2"/>
        <v/>
      </c>
      <c r="B163" s="12"/>
      <c r="C163" s="13"/>
      <c r="D163" s="2"/>
      <c r="E163" s="2"/>
    </row>
    <row r="164" spans="1:5">
      <c r="A164" s="3" t="str">
        <f t="shared" si="2"/>
        <v/>
      </c>
      <c r="B164" s="14"/>
      <c r="C164" s="15"/>
      <c r="D164" s="1"/>
      <c r="E164" s="1"/>
    </row>
    <row r="165" spans="1:5">
      <c r="A165" s="4" t="str">
        <f t="shared" si="2"/>
        <v/>
      </c>
      <c r="B165" s="12"/>
      <c r="C165" s="13"/>
      <c r="D165" s="2"/>
      <c r="E165" s="2"/>
    </row>
    <row r="166" spans="1:5">
      <c r="A166" s="3" t="str">
        <f t="shared" si="2"/>
        <v/>
      </c>
      <c r="B166" s="14"/>
      <c r="C166" s="15"/>
      <c r="D166" s="1"/>
      <c r="E166" s="1"/>
    </row>
    <row r="167" spans="1:5">
      <c r="A167" s="4" t="str">
        <f t="shared" si="2"/>
        <v/>
      </c>
      <c r="B167" s="12"/>
      <c r="C167" s="13"/>
      <c r="D167" s="2"/>
      <c r="E167" s="2"/>
    </row>
    <row r="168" spans="1:5">
      <c r="A168" s="3" t="str">
        <f t="shared" si="2"/>
        <v/>
      </c>
      <c r="B168" s="14"/>
      <c r="C168" s="15"/>
      <c r="D168" s="1"/>
      <c r="E168" s="1"/>
    </row>
    <row r="169" spans="1:5">
      <c r="A169" s="4" t="str">
        <f t="shared" si="2"/>
        <v/>
      </c>
      <c r="B169" s="12"/>
      <c r="C169" s="13"/>
      <c r="D169" s="2"/>
      <c r="E169" s="2"/>
    </row>
    <row r="170" spans="1:5">
      <c r="A170" s="3" t="str">
        <f t="shared" si="2"/>
        <v/>
      </c>
      <c r="B170" s="14"/>
      <c r="C170" s="15"/>
      <c r="D170" s="1"/>
      <c r="E170" s="1"/>
    </row>
    <row r="171" spans="1:5">
      <c r="A171" s="4" t="str">
        <f t="shared" si="2"/>
        <v/>
      </c>
      <c r="B171" s="12"/>
      <c r="C171" s="13"/>
      <c r="D171" s="2"/>
      <c r="E171" s="2"/>
    </row>
    <row r="172" spans="1:5">
      <c r="A172" s="3" t="str">
        <f t="shared" si="2"/>
        <v/>
      </c>
      <c r="B172" s="14"/>
      <c r="C172" s="15"/>
      <c r="D172" s="1"/>
      <c r="E172" s="1"/>
    </row>
    <row r="173" spans="1:5">
      <c r="A173" s="4" t="str">
        <f t="shared" si="2"/>
        <v/>
      </c>
      <c r="B173" s="12"/>
      <c r="C173" s="13"/>
      <c r="D173" s="2"/>
      <c r="E173" s="2"/>
    </row>
    <row r="174" spans="1:5">
      <c r="A174" s="3" t="str">
        <f t="shared" si="2"/>
        <v/>
      </c>
      <c r="B174" s="14"/>
      <c r="C174" s="15"/>
      <c r="D174" s="1"/>
      <c r="E174" s="1"/>
    </row>
    <row r="175" spans="1:5">
      <c r="A175" s="4" t="str">
        <f t="shared" si="2"/>
        <v/>
      </c>
      <c r="B175" s="12"/>
      <c r="C175" s="13"/>
      <c r="D175" s="2"/>
      <c r="E175" s="2"/>
    </row>
    <row r="176" spans="1:5">
      <c r="A176" s="3" t="str">
        <f t="shared" si="2"/>
        <v/>
      </c>
      <c r="B176" s="14"/>
      <c r="C176" s="15"/>
      <c r="D176" s="1"/>
      <c r="E176" s="1"/>
    </row>
    <row r="177" spans="1:5">
      <c r="A177" s="4" t="str">
        <f t="shared" si="2"/>
        <v/>
      </c>
      <c r="B177" s="12"/>
      <c r="C177" s="13"/>
      <c r="D177" s="2"/>
      <c r="E177" s="2"/>
    </row>
    <row r="178" spans="1:5">
      <c r="A178" s="3" t="str">
        <f t="shared" si="2"/>
        <v/>
      </c>
      <c r="B178" s="14"/>
      <c r="C178" s="15"/>
      <c r="D178" s="1"/>
      <c r="E178" s="1"/>
    </row>
    <row r="179" spans="1:5">
      <c r="A179" s="4" t="str">
        <f t="shared" si="2"/>
        <v/>
      </c>
      <c r="B179" s="12"/>
      <c r="C179" s="13"/>
      <c r="D179" s="2"/>
      <c r="E179" s="2"/>
    </row>
    <row r="180" spans="1:5">
      <c r="A180" s="3" t="str">
        <f t="shared" si="2"/>
        <v/>
      </c>
      <c r="B180" s="14"/>
      <c r="C180" s="15"/>
      <c r="D180" s="1"/>
      <c r="E180" s="1"/>
    </row>
    <row r="181" spans="1:5">
      <c r="A181" s="4" t="str">
        <f t="shared" si="2"/>
        <v/>
      </c>
      <c r="B181" s="12"/>
      <c r="C181" s="13"/>
      <c r="D181" s="2"/>
      <c r="E181" s="2"/>
    </row>
    <row r="182" spans="1:5">
      <c r="A182" s="3" t="str">
        <f t="shared" si="2"/>
        <v/>
      </c>
      <c r="B182" s="14"/>
      <c r="C182" s="15"/>
      <c r="D182" s="1"/>
      <c r="E182" s="1"/>
    </row>
    <row r="183" spans="1:5">
      <c r="A183" s="4" t="str">
        <f t="shared" si="2"/>
        <v/>
      </c>
      <c r="B183" s="12"/>
      <c r="C183" s="13"/>
      <c r="D183" s="2"/>
      <c r="E183" s="2"/>
    </row>
    <row r="184" spans="1:5">
      <c r="A184" s="3" t="str">
        <f t="shared" si="2"/>
        <v/>
      </c>
      <c r="B184" s="14"/>
      <c r="C184" s="15"/>
      <c r="D184" s="1"/>
      <c r="E184" s="1"/>
    </row>
    <row r="185" spans="1:5">
      <c r="A185" s="4" t="str">
        <f t="shared" si="2"/>
        <v/>
      </c>
      <c r="B185" s="12"/>
      <c r="C185" s="13"/>
      <c r="D185" s="2"/>
      <c r="E185" s="2"/>
    </row>
    <row r="186" spans="1:5">
      <c r="A186" s="3" t="str">
        <f t="shared" si="2"/>
        <v/>
      </c>
      <c r="B186" s="14"/>
      <c r="C186" s="15"/>
      <c r="D186" s="1"/>
      <c r="E186" s="1"/>
    </row>
    <row r="187" spans="1:5">
      <c r="A187" s="4" t="str">
        <f t="shared" si="2"/>
        <v/>
      </c>
      <c r="B187" s="12"/>
      <c r="C187" s="13"/>
      <c r="D187" s="2"/>
      <c r="E187" s="2"/>
    </row>
    <row r="188" spans="1:5">
      <c r="A188" s="3" t="str">
        <f t="shared" si="2"/>
        <v/>
      </c>
      <c r="B188" s="14"/>
      <c r="C188" s="15"/>
      <c r="D188" s="1"/>
      <c r="E188" s="1"/>
    </row>
    <row r="189" spans="1:5">
      <c r="A189" s="4" t="str">
        <f t="shared" si="2"/>
        <v/>
      </c>
      <c r="B189" s="12"/>
      <c r="C189" s="13"/>
      <c r="D189" s="2"/>
      <c r="E189" s="2"/>
    </row>
    <row r="190" spans="1:5">
      <c r="A190" s="3" t="str">
        <f t="shared" si="2"/>
        <v/>
      </c>
      <c r="B190" s="14"/>
      <c r="C190" s="15"/>
      <c r="D190" s="1"/>
      <c r="E190" s="1"/>
    </row>
    <row r="191" spans="1:5">
      <c r="A191" s="4" t="str">
        <f t="shared" si="2"/>
        <v/>
      </c>
      <c r="B191" s="12"/>
      <c r="C191" s="13"/>
      <c r="D191" s="2"/>
      <c r="E191" s="2"/>
    </row>
    <row r="192" spans="1:5">
      <c r="A192" s="3" t="str">
        <f t="shared" si="2"/>
        <v/>
      </c>
      <c r="B192" s="14"/>
      <c r="C192" s="15"/>
      <c r="D192" s="1"/>
      <c r="E192" s="1"/>
    </row>
    <row r="193" spans="1:5">
      <c r="A193" s="4" t="str">
        <f t="shared" si="2"/>
        <v/>
      </c>
      <c r="B193" s="12"/>
      <c r="C193" s="13"/>
      <c r="D193" s="2"/>
      <c r="E193" s="2"/>
    </row>
    <row r="194" spans="1:5">
      <c r="A194" s="3" t="str">
        <f t="shared" si="2"/>
        <v/>
      </c>
      <c r="B194" s="14"/>
      <c r="C194" s="15"/>
      <c r="D194" s="1"/>
      <c r="E194" s="1"/>
    </row>
    <row r="195" spans="1:5">
      <c r="A195" s="4" t="str">
        <f t="shared" si="2"/>
        <v/>
      </c>
      <c r="B195" s="12"/>
      <c r="C195" s="13"/>
      <c r="D195" s="2"/>
      <c r="E195" s="2"/>
    </row>
    <row r="196" spans="1:5">
      <c r="A196" s="3" t="str">
        <f t="shared" si="2"/>
        <v/>
      </c>
      <c r="B196" s="14"/>
      <c r="C196" s="15"/>
      <c r="D196" s="1"/>
      <c r="E196" s="1"/>
    </row>
    <row r="197" spans="1:5">
      <c r="A197" s="4" t="str">
        <f t="shared" ref="A197:A260" si="3">IF(B197="","",ROW()-4)</f>
        <v/>
      </c>
      <c r="B197" s="12"/>
      <c r="C197" s="13"/>
      <c r="D197" s="2"/>
      <c r="E197" s="2"/>
    </row>
    <row r="198" spans="1:5">
      <c r="A198" s="3" t="str">
        <f t="shared" si="3"/>
        <v/>
      </c>
      <c r="B198" s="14"/>
      <c r="C198" s="15"/>
      <c r="D198" s="1"/>
      <c r="E198" s="1"/>
    </row>
    <row r="199" spans="1:5">
      <c r="A199" s="4" t="str">
        <f t="shared" si="3"/>
        <v/>
      </c>
      <c r="B199" s="12"/>
      <c r="C199" s="13"/>
      <c r="D199" s="2"/>
      <c r="E199" s="2"/>
    </row>
    <row r="200" spans="1:5">
      <c r="A200" s="3" t="str">
        <f t="shared" si="3"/>
        <v/>
      </c>
      <c r="B200" s="14"/>
      <c r="C200" s="15"/>
      <c r="D200" s="1"/>
      <c r="E200" s="1"/>
    </row>
    <row r="201" spans="1:5">
      <c r="A201" s="4" t="str">
        <f t="shared" si="3"/>
        <v/>
      </c>
      <c r="B201" s="12"/>
      <c r="C201" s="13"/>
      <c r="D201" s="2"/>
      <c r="E201" s="2"/>
    </row>
    <row r="202" spans="1:5">
      <c r="A202" s="3" t="str">
        <f t="shared" si="3"/>
        <v/>
      </c>
      <c r="B202" s="14"/>
      <c r="C202" s="15"/>
      <c r="D202" s="1"/>
      <c r="E202" s="1"/>
    </row>
    <row r="203" spans="1:5">
      <c r="A203" s="4" t="str">
        <f t="shared" si="3"/>
        <v/>
      </c>
      <c r="B203" s="12"/>
      <c r="C203" s="13"/>
      <c r="D203" s="2"/>
      <c r="E203" s="2"/>
    </row>
    <row r="204" spans="1:5">
      <c r="A204" s="3" t="str">
        <f t="shared" si="3"/>
        <v/>
      </c>
      <c r="B204" s="14"/>
      <c r="C204" s="15"/>
      <c r="D204" s="1"/>
      <c r="E204" s="1"/>
    </row>
    <row r="205" spans="1:5">
      <c r="A205" s="4" t="str">
        <f t="shared" si="3"/>
        <v/>
      </c>
      <c r="B205" s="12"/>
      <c r="C205" s="13"/>
      <c r="D205" s="2"/>
      <c r="E205" s="2"/>
    </row>
    <row r="206" spans="1:5">
      <c r="A206" s="3" t="str">
        <f t="shared" si="3"/>
        <v/>
      </c>
      <c r="B206" s="14"/>
      <c r="C206" s="15"/>
      <c r="D206" s="1"/>
      <c r="E206" s="1"/>
    </row>
    <row r="207" spans="1:5">
      <c r="A207" s="4" t="str">
        <f t="shared" si="3"/>
        <v/>
      </c>
      <c r="B207" s="12"/>
      <c r="C207" s="13"/>
      <c r="D207" s="2"/>
      <c r="E207" s="2"/>
    </row>
    <row r="208" spans="1:5">
      <c r="A208" s="3" t="str">
        <f t="shared" si="3"/>
        <v/>
      </c>
      <c r="B208" s="14"/>
      <c r="C208" s="15"/>
      <c r="D208" s="1"/>
      <c r="E208" s="1"/>
    </row>
    <row r="209" spans="1:5">
      <c r="A209" s="4" t="str">
        <f t="shared" si="3"/>
        <v/>
      </c>
      <c r="B209" s="12"/>
      <c r="C209" s="13"/>
      <c r="D209" s="2"/>
      <c r="E209" s="2"/>
    </row>
    <row r="210" spans="1:5">
      <c r="A210" s="3" t="str">
        <f t="shared" si="3"/>
        <v/>
      </c>
      <c r="B210" s="14"/>
      <c r="C210" s="15"/>
      <c r="D210" s="1"/>
      <c r="E210" s="1"/>
    </row>
    <row r="211" spans="1:5">
      <c r="A211" s="4" t="str">
        <f t="shared" si="3"/>
        <v/>
      </c>
      <c r="B211" s="12"/>
      <c r="C211" s="13"/>
      <c r="D211" s="2"/>
      <c r="E211" s="2"/>
    </row>
    <row r="212" spans="1:5">
      <c r="A212" s="3" t="str">
        <f t="shared" si="3"/>
        <v/>
      </c>
      <c r="B212" s="14"/>
      <c r="C212" s="15"/>
      <c r="D212" s="1"/>
      <c r="E212" s="1"/>
    </row>
    <row r="213" spans="1:5">
      <c r="A213" s="4" t="str">
        <f t="shared" si="3"/>
        <v/>
      </c>
      <c r="B213" s="12"/>
      <c r="C213" s="13"/>
      <c r="D213" s="2"/>
      <c r="E213" s="2"/>
    </row>
    <row r="214" spans="1:5">
      <c r="A214" s="3" t="str">
        <f t="shared" si="3"/>
        <v/>
      </c>
      <c r="B214" s="14"/>
      <c r="C214" s="15"/>
      <c r="D214" s="1"/>
      <c r="E214" s="1"/>
    </row>
    <row r="215" spans="1:5">
      <c r="A215" s="4" t="str">
        <f t="shared" si="3"/>
        <v/>
      </c>
      <c r="B215" s="12"/>
      <c r="C215" s="13"/>
      <c r="D215" s="2"/>
      <c r="E215" s="2"/>
    </row>
    <row r="216" spans="1:5">
      <c r="A216" s="3" t="str">
        <f t="shared" si="3"/>
        <v/>
      </c>
      <c r="B216" s="14"/>
      <c r="C216" s="15"/>
      <c r="D216" s="1"/>
      <c r="E216" s="1"/>
    </row>
    <row r="217" spans="1:5">
      <c r="A217" s="4" t="str">
        <f t="shared" si="3"/>
        <v/>
      </c>
      <c r="B217" s="12"/>
      <c r="C217" s="13"/>
      <c r="D217" s="2"/>
      <c r="E217" s="2"/>
    </row>
    <row r="218" spans="1:5">
      <c r="A218" s="3" t="str">
        <f t="shared" si="3"/>
        <v/>
      </c>
      <c r="B218" s="14"/>
      <c r="C218" s="15"/>
      <c r="D218" s="1"/>
      <c r="E218" s="1"/>
    </row>
    <row r="219" spans="1:5">
      <c r="A219" s="4" t="str">
        <f t="shared" si="3"/>
        <v/>
      </c>
      <c r="B219" s="12"/>
      <c r="C219" s="13"/>
      <c r="D219" s="2"/>
      <c r="E219" s="2"/>
    </row>
    <row r="220" spans="1:5">
      <c r="A220" s="3" t="str">
        <f t="shared" si="3"/>
        <v/>
      </c>
      <c r="B220" s="14"/>
      <c r="C220" s="15"/>
      <c r="D220" s="1"/>
      <c r="E220" s="1"/>
    </row>
    <row r="221" spans="1:5">
      <c r="A221" s="4" t="str">
        <f t="shared" si="3"/>
        <v/>
      </c>
      <c r="B221" s="12"/>
      <c r="C221" s="13"/>
      <c r="D221" s="2"/>
      <c r="E221" s="2"/>
    </row>
    <row r="222" spans="1:5">
      <c r="A222" s="3" t="str">
        <f t="shared" si="3"/>
        <v/>
      </c>
      <c r="B222" s="14"/>
      <c r="C222" s="15"/>
      <c r="D222" s="1"/>
      <c r="E222" s="1"/>
    </row>
    <row r="223" spans="1:5">
      <c r="A223" s="4" t="str">
        <f t="shared" si="3"/>
        <v/>
      </c>
      <c r="B223" s="12"/>
      <c r="C223" s="13"/>
      <c r="D223" s="2"/>
      <c r="E223" s="2"/>
    </row>
    <row r="224" spans="1:5">
      <c r="A224" s="3" t="str">
        <f t="shared" si="3"/>
        <v/>
      </c>
      <c r="B224" s="14"/>
      <c r="C224" s="15"/>
      <c r="D224" s="1"/>
      <c r="E224" s="1"/>
    </row>
    <row r="225" spans="1:5">
      <c r="A225" s="4" t="str">
        <f t="shared" si="3"/>
        <v/>
      </c>
      <c r="B225" s="12"/>
      <c r="C225" s="13"/>
      <c r="D225" s="2"/>
      <c r="E225" s="2"/>
    </row>
    <row r="226" spans="1:5">
      <c r="A226" s="3" t="str">
        <f t="shared" si="3"/>
        <v/>
      </c>
      <c r="B226" s="14"/>
      <c r="C226" s="15"/>
      <c r="D226" s="1"/>
      <c r="E226" s="1"/>
    </row>
    <row r="227" spans="1:5">
      <c r="A227" s="4" t="str">
        <f t="shared" si="3"/>
        <v/>
      </c>
      <c r="B227" s="12"/>
      <c r="C227" s="13"/>
      <c r="D227" s="2"/>
      <c r="E227" s="2"/>
    </row>
    <row r="228" spans="1:5">
      <c r="A228" s="3" t="str">
        <f t="shared" si="3"/>
        <v/>
      </c>
      <c r="B228" s="14"/>
      <c r="C228" s="15"/>
      <c r="D228" s="1"/>
      <c r="E228" s="1"/>
    </row>
    <row r="229" spans="1:5">
      <c r="A229" s="4" t="str">
        <f t="shared" si="3"/>
        <v/>
      </c>
      <c r="B229" s="12"/>
      <c r="C229" s="13"/>
      <c r="D229" s="2"/>
      <c r="E229" s="2"/>
    </row>
    <row r="230" spans="1:5">
      <c r="A230" s="3" t="str">
        <f t="shared" si="3"/>
        <v/>
      </c>
      <c r="B230" s="14"/>
      <c r="C230" s="15"/>
      <c r="D230" s="1"/>
      <c r="E230" s="1"/>
    </row>
    <row r="231" spans="1:5">
      <c r="A231" s="4" t="str">
        <f t="shared" si="3"/>
        <v/>
      </c>
      <c r="B231" s="12"/>
      <c r="C231" s="13"/>
      <c r="D231" s="2"/>
      <c r="E231" s="2"/>
    </row>
    <row r="232" spans="1:5">
      <c r="A232" s="3" t="str">
        <f t="shared" si="3"/>
        <v/>
      </c>
      <c r="B232" s="14"/>
      <c r="C232" s="15"/>
      <c r="D232" s="1"/>
      <c r="E232" s="1"/>
    </row>
    <row r="233" spans="1:5">
      <c r="A233" s="4" t="str">
        <f t="shared" si="3"/>
        <v/>
      </c>
      <c r="B233" s="12"/>
      <c r="C233" s="13"/>
      <c r="D233" s="2"/>
      <c r="E233" s="2"/>
    </row>
    <row r="234" spans="1:5">
      <c r="A234" s="3" t="str">
        <f t="shared" si="3"/>
        <v/>
      </c>
      <c r="B234" s="14"/>
      <c r="C234" s="15"/>
      <c r="D234" s="1"/>
      <c r="E234" s="1"/>
    </row>
    <row r="235" spans="1:5">
      <c r="A235" s="4" t="str">
        <f t="shared" si="3"/>
        <v/>
      </c>
      <c r="B235" s="12"/>
      <c r="C235" s="13"/>
      <c r="D235" s="2"/>
      <c r="E235" s="2"/>
    </row>
    <row r="236" spans="1:5">
      <c r="A236" s="3" t="str">
        <f t="shared" si="3"/>
        <v/>
      </c>
      <c r="B236" s="14"/>
      <c r="C236" s="15"/>
      <c r="D236" s="1"/>
      <c r="E236" s="1"/>
    </row>
    <row r="237" spans="1:5">
      <c r="A237" s="4" t="str">
        <f t="shared" si="3"/>
        <v/>
      </c>
      <c r="B237" s="12"/>
      <c r="C237" s="13"/>
      <c r="D237" s="2"/>
      <c r="E237" s="2"/>
    </row>
    <row r="238" spans="1:5">
      <c r="A238" s="3" t="str">
        <f t="shared" si="3"/>
        <v/>
      </c>
      <c r="B238" s="14"/>
      <c r="C238" s="15"/>
      <c r="D238" s="1"/>
      <c r="E238" s="1"/>
    </row>
    <row r="239" spans="1:5">
      <c r="A239" s="4" t="str">
        <f t="shared" si="3"/>
        <v/>
      </c>
      <c r="B239" s="12"/>
      <c r="C239" s="13"/>
      <c r="D239" s="2"/>
      <c r="E239" s="2"/>
    </row>
    <row r="240" spans="1:5">
      <c r="A240" s="3" t="str">
        <f t="shared" si="3"/>
        <v/>
      </c>
      <c r="B240" s="14"/>
      <c r="C240" s="15"/>
      <c r="D240" s="1"/>
      <c r="E240" s="1"/>
    </row>
    <row r="241" spans="1:5">
      <c r="A241" s="4" t="str">
        <f t="shared" si="3"/>
        <v/>
      </c>
      <c r="B241" s="12"/>
      <c r="C241" s="13"/>
      <c r="D241" s="2"/>
      <c r="E241" s="2"/>
    </row>
    <row r="242" spans="1:5">
      <c r="A242" s="3" t="str">
        <f t="shared" si="3"/>
        <v/>
      </c>
      <c r="B242" s="14"/>
      <c r="C242" s="15"/>
      <c r="D242" s="1"/>
      <c r="E242" s="1"/>
    </row>
    <row r="243" spans="1:5">
      <c r="A243" s="4" t="str">
        <f t="shared" si="3"/>
        <v/>
      </c>
      <c r="B243" s="12"/>
      <c r="C243" s="13"/>
      <c r="D243" s="2"/>
      <c r="E243" s="2"/>
    </row>
    <row r="244" spans="1:5">
      <c r="A244" s="3" t="str">
        <f t="shared" si="3"/>
        <v/>
      </c>
      <c r="B244" s="14"/>
      <c r="C244" s="15"/>
      <c r="D244" s="1"/>
      <c r="E244" s="1"/>
    </row>
    <row r="245" spans="1:5">
      <c r="A245" s="4" t="str">
        <f t="shared" si="3"/>
        <v/>
      </c>
      <c r="B245" s="12"/>
      <c r="C245" s="13"/>
      <c r="D245" s="2"/>
      <c r="E245" s="2"/>
    </row>
    <row r="246" spans="1:5">
      <c r="A246" s="3" t="str">
        <f t="shared" si="3"/>
        <v/>
      </c>
      <c r="B246" s="14"/>
      <c r="C246" s="15"/>
      <c r="D246" s="1"/>
      <c r="E246" s="1"/>
    </row>
    <row r="247" spans="1:5">
      <c r="A247" s="4" t="str">
        <f t="shared" si="3"/>
        <v/>
      </c>
      <c r="B247" s="12"/>
      <c r="C247" s="13"/>
      <c r="D247" s="2"/>
      <c r="E247" s="2"/>
    </row>
    <row r="248" spans="1:5">
      <c r="A248" s="3" t="str">
        <f t="shared" si="3"/>
        <v/>
      </c>
      <c r="B248" s="14"/>
      <c r="C248" s="15"/>
      <c r="D248" s="1"/>
      <c r="E248" s="1"/>
    </row>
    <row r="249" spans="1:5">
      <c r="A249" s="4" t="str">
        <f t="shared" si="3"/>
        <v/>
      </c>
      <c r="B249" s="12"/>
      <c r="C249" s="13"/>
      <c r="D249" s="2"/>
      <c r="E249" s="2"/>
    </row>
    <row r="250" spans="1:5">
      <c r="A250" s="3" t="str">
        <f t="shared" si="3"/>
        <v/>
      </c>
      <c r="B250" s="14"/>
      <c r="C250" s="15"/>
      <c r="D250" s="1"/>
      <c r="E250" s="1"/>
    </row>
    <row r="251" spans="1:5">
      <c r="A251" s="4" t="str">
        <f t="shared" si="3"/>
        <v/>
      </c>
      <c r="B251" s="12"/>
      <c r="C251" s="13"/>
      <c r="D251" s="2"/>
      <c r="E251" s="2"/>
    </row>
    <row r="252" spans="1:5">
      <c r="A252" s="3" t="str">
        <f t="shared" si="3"/>
        <v/>
      </c>
      <c r="B252" s="14"/>
      <c r="C252" s="15"/>
      <c r="D252" s="1"/>
      <c r="E252" s="1"/>
    </row>
    <row r="253" spans="1:5">
      <c r="A253" s="4" t="str">
        <f t="shared" si="3"/>
        <v/>
      </c>
      <c r="B253" s="12"/>
      <c r="C253" s="13"/>
      <c r="D253" s="2"/>
      <c r="E253" s="2"/>
    </row>
    <row r="254" spans="1:5">
      <c r="A254" s="3" t="str">
        <f t="shared" si="3"/>
        <v/>
      </c>
      <c r="B254" s="14"/>
      <c r="C254" s="15"/>
      <c r="D254" s="1"/>
      <c r="E254" s="1"/>
    </row>
    <row r="255" spans="1:5">
      <c r="A255" s="4" t="str">
        <f t="shared" si="3"/>
        <v/>
      </c>
      <c r="B255" s="12"/>
      <c r="C255" s="13"/>
      <c r="D255" s="2"/>
      <c r="E255" s="2"/>
    </row>
    <row r="256" spans="1:5">
      <c r="A256" s="3" t="str">
        <f t="shared" si="3"/>
        <v/>
      </c>
      <c r="B256" s="14"/>
      <c r="C256" s="15"/>
      <c r="D256" s="1"/>
      <c r="E256" s="1"/>
    </row>
    <row r="257" spans="1:5">
      <c r="A257" s="4" t="str">
        <f t="shared" si="3"/>
        <v/>
      </c>
      <c r="B257" s="12"/>
      <c r="C257" s="13"/>
      <c r="D257" s="2"/>
      <c r="E257" s="2"/>
    </row>
    <row r="258" spans="1:5">
      <c r="A258" s="3" t="str">
        <f t="shared" si="3"/>
        <v/>
      </c>
      <c r="B258" s="14"/>
      <c r="C258" s="15"/>
      <c r="D258" s="1"/>
      <c r="E258" s="1"/>
    </row>
    <row r="259" spans="1:5">
      <c r="A259" s="4" t="str">
        <f t="shared" si="3"/>
        <v/>
      </c>
      <c r="B259" s="12"/>
      <c r="C259" s="13"/>
      <c r="D259" s="2"/>
      <c r="E259" s="2"/>
    </row>
    <row r="260" spans="1:5">
      <c r="A260" s="3" t="str">
        <f t="shared" si="3"/>
        <v/>
      </c>
      <c r="B260" s="14"/>
      <c r="C260" s="15"/>
      <c r="D260" s="1"/>
      <c r="E260" s="1"/>
    </row>
    <row r="261" spans="1:5">
      <c r="A261" s="4" t="str">
        <f t="shared" ref="A261:A324" si="4">IF(B261="","",ROW()-4)</f>
        <v/>
      </c>
      <c r="B261" s="12"/>
      <c r="C261" s="13"/>
      <c r="D261" s="2"/>
      <c r="E261" s="2"/>
    </row>
    <row r="262" spans="1:5">
      <c r="A262" s="3" t="str">
        <f t="shared" si="4"/>
        <v/>
      </c>
      <c r="B262" s="14"/>
      <c r="C262" s="15"/>
      <c r="D262" s="1"/>
      <c r="E262" s="1"/>
    </row>
    <row r="263" spans="1:5">
      <c r="A263" s="4" t="str">
        <f t="shared" si="4"/>
        <v/>
      </c>
      <c r="B263" s="12"/>
      <c r="C263" s="13"/>
      <c r="D263" s="2"/>
      <c r="E263" s="2"/>
    </row>
    <row r="264" spans="1:5">
      <c r="A264" s="3" t="str">
        <f t="shared" si="4"/>
        <v/>
      </c>
      <c r="B264" s="14"/>
      <c r="C264" s="15"/>
      <c r="D264" s="1"/>
      <c r="E264" s="1"/>
    </row>
    <row r="265" spans="1:5">
      <c r="A265" s="4" t="str">
        <f t="shared" si="4"/>
        <v/>
      </c>
      <c r="B265" s="12"/>
      <c r="C265" s="13"/>
      <c r="D265" s="2"/>
      <c r="E265" s="2"/>
    </row>
    <row r="266" spans="1:5">
      <c r="A266" s="3" t="str">
        <f t="shared" si="4"/>
        <v/>
      </c>
      <c r="B266" s="14"/>
      <c r="C266" s="15"/>
      <c r="D266" s="1"/>
      <c r="E266" s="1"/>
    </row>
    <row r="267" spans="1:5">
      <c r="A267" s="4" t="str">
        <f t="shared" si="4"/>
        <v/>
      </c>
      <c r="B267" s="12"/>
      <c r="C267" s="13"/>
      <c r="D267" s="2"/>
      <c r="E267" s="2"/>
    </row>
    <row r="268" spans="1:5">
      <c r="A268" s="3" t="str">
        <f t="shared" si="4"/>
        <v/>
      </c>
      <c r="B268" s="14"/>
      <c r="C268" s="15"/>
      <c r="D268" s="1"/>
      <c r="E268" s="1"/>
    </row>
    <row r="269" spans="1:5">
      <c r="A269" s="4" t="str">
        <f t="shared" si="4"/>
        <v/>
      </c>
      <c r="B269" s="12"/>
      <c r="C269" s="13"/>
      <c r="D269" s="2"/>
      <c r="E269" s="2"/>
    </row>
    <row r="270" spans="1:5">
      <c r="A270" s="3" t="str">
        <f t="shared" si="4"/>
        <v/>
      </c>
      <c r="B270" s="14"/>
      <c r="C270" s="15"/>
      <c r="D270" s="1"/>
      <c r="E270" s="1"/>
    </row>
    <row r="271" spans="1:5">
      <c r="A271" s="4" t="str">
        <f t="shared" si="4"/>
        <v/>
      </c>
      <c r="B271" s="12"/>
      <c r="C271" s="13"/>
      <c r="D271" s="2"/>
      <c r="E271" s="2"/>
    </row>
    <row r="272" spans="1:5">
      <c r="A272" s="3" t="str">
        <f t="shared" si="4"/>
        <v/>
      </c>
      <c r="B272" s="14"/>
      <c r="C272" s="15"/>
      <c r="D272" s="1"/>
      <c r="E272" s="1"/>
    </row>
    <row r="273" spans="1:5">
      <c r="A273" s="4" t="str">
        <f t="shared" si="4"/>
        <v/>
      </c>
      <c r="B273" s="12"/>
      <c r="C273" s="13"/>
      <c r="D273" s="2"/>
      <c r="E273" s="2"/>
    </row>
    <row r="274" spans="1:5">
      <c r="A274" s="3" t="str">
        <f t="shared" si="4"/>
        <v/>
      </c>
      <c r="B274" s="14"/>
      <c r="C274" s="15"/>
      <c r="D274" s="1"/>
      <c r="E274" s="1"/>
    </row>
    <row r="275" spans="1:5">
      <c r="A275" s="4" t="str">
        <f t="shared" si="4"/>
        <v/>
      </c>
      <c r="B275" s="12"/>
      <c r="C275" s="13"/>
      <c r="D275" s="2"/>
      <c r="E275" s="2"/>
    </row>
    <row r="276" spans="1:5">
      <c r="A276" s="3" t="str">
        <f t="shared" si="4"/>
        <v/>
      </c>
      <c r="B276" s="14"/>
      <c r="C276" s="15"/>
      <c r="D276" s="1"/>
      <c r="E276" s="1"/>
    </row>
    <row r="277" spans="1:5">
      <c r="A277" s="4" t="str">
        <f t="shared" si="4"/>
        <v/>
      </c>
      <c r="B277" s="12"/>
      <c r="C277" s="13"/>
      <c r="D277" s="2"/>
      <c r="E277" s="2"/>
    </row>
    <row r="278" spans="1:5">
      <c r="A278" s="3" t="str">
        <f t="shared" si="4"/>
        <v/>
      </c>
      <c r="B278" s="14"/>
      <c r="C278" s="15"/>
      <c r="D278" s="1"/>
      <c r="E278" s="1"/>
    </row>
    <row r="279" spans="1:5">
      <c r="A279" s="4" t="str">
        <f t="shared" si="4"/>
        <v/>
      </c>
      <c r="B279" s="12"/>
      <c r="C279" s="13"/>
      <c r="D279" s="2"/>
      <c r="E279" s="2"/>
    </row>
    <row r="280" spans="1:5">
      <c r="A280" s="3" t="str">
        <f t="shared" si="4"/>
        <v/>
      </c>
      <c r="B280" s="14"/>
      <c r="C280" s="15"/>
      <c r="D280" s="1"/>
      <c r="E280" s="1"/>
    </row>
    <row r="281" spans="1:5">
      <c r="A281" s="4" t="str">
        <f t="shared" si="4"/>
        <v/>
      </c>
      <c r="B281" s="12"/>
      <c r="C281" s="13"/>
      <c r="D281" s="2"/>
      <c r="E281" s="2"/>
    </row>
    <row r="282" spans="1:5">
      <c r="A282" s="3" t="str">
        <f t="shared" si="4"/>
        <v/>
      </c>
      <c r="B282" s="14"/>
      <c r="C282" s="15"/>
      <c r="D282" s="1"/>
      <c r="E282" s="1"/>
    </row>
    <row r="283" spans="1:5">
      <c r="A283" s="4" t="str">
        <f t="shared" si="4"/>
        <v/>
      </c>
      <c r="B283" s="12"/>
      <c r="C283" s="13"/>
      <c r="D283" s="2"/>
      <c r="E283" s="2"/>
    </row>
    <row r="284" spans="1:5">
      <c r="A284" s="3" t="str">
        <f t="shared" si="4"/>
        <v/>
      </c>
      <c r="B284" s="14"/>
      <c r="C284" s="15"/>
      <c r="D284" s="1"/>
      <c r="E284" s="1"/>
    </row>
    <row r="285" spans="1:5">
      <c r="A285" s="4" t="str">
        <f t="shared" si="4"/>
        <v/>
      </c>
      <c r="B285" s="12"/>
      <c r="C285" s="13"/>
      <c r="D285" s="2"/>
      <c r="E285" s="2"/>
    </row>
    <row r="286" spans="1:5">
      <c r="A286" s="3" t="str">
        <f t="shared" si="4"/>
        <v/>
      </c>
      <c r="B286" s="14"/>
      <c r="C286" s="15"/>
      <c r="D286" s="1"/>
      <c r="E286" s="1"/>
    </row>
    <row r="287" spans="1:5">
      <c r="A287" s="4" t="str">
        <f t="shared" si="4"/>
        <v/>
      </c>
      <c r="B287" s="12"/>
      <c r="C287" s="13"/>
      <c r="D287" s="2"/>
      <c r="E287" s="2"/>
    </row>
    <row r="288" spans="1:5">
      <c r="A288" s="3" t="str">
        <f t="shared" si="4"/>
        <v/>
      </c>
      <c r="B288" s="14"/>
      <c r="C288" s="15"/>
      <c r="D288" s="1"/>
      <c r="E288" s="1"/>
    </row>
    <row r="289" spans="1:5">
      <c r="A289" s="4" t="str">
        <f t="shared" si="4"/>
        <v/>
      </c>
      <c r="B289" s="12"/>
      <c r="C289" s="13"/>
      <c r="D289" s="2"/>
      <c r="E289" s="2"/>
    </row>
    <row r="290" spans="1:5">
      <c r="A290" s="3" t="str">
        <f t="shared" si="4"/>
        <v/>
      </c>
      <c r="B290" s="14"/>
      <c r="C290" s="15"/>
      <c r="D290" s="1"/>
      <c r="E290" s="1"/>
    </row>
    <row r="291" spans="1:5">
      <c r="A291" s="4" t="str">
        <f t="shared" si="4"/>
        <v/>
      </c>
      <c r="B291" s="12"/>
      <c r="C291" s="13"/>
      <c r="D291" s="2"/>
      <c r="E291" s="2"/>
    </row>
    <row r="292" spans="1:5">
      <c r="A292" s="3" t="str">
        <f t="shared" si="4"/>
        <v/>
      </c>
      <c r="B292" s="14"/>
      <c r="C292" s="15"/>
      <c r="D292" s="1"/>
      <c r="E292" s="1"/>
    </row>
    <row r="293" spans="1:5">
      <c r="A293" s="4" t="str">
        <f t="shared" si="4"/>
        <v/>
      </c>
      <c r="B293" s="12"/>
      <c r="C293" s="13"/>
      <c r="D293" s="2"/>
      <c r="E293" s="2"/>
    </row>
    <row r="294" spans="1:5">
      <c r="A294" s="3" t="str">
        <f t="shared" si="4"/>
        <v/>
      </c>
      <c r="B294" s="14"/>
      <c r="C294" s="15"/>
      <c r="D294" s="1"/>
      <c r="E294" s="1"/>
    </row>
    <row r="295" spans="1:5">
      <c r="A295" s="4" t="str">
        <f t="shared" si="4"/>
        <v/>
      </c>
      <c r="B295" s="12"/>
      <c r="C295" s="13"/>
      <c r="D295" s="2"/>
      <c r="E295" s="2"/>
    </row>
    <row r="296" spans="1:5">
      <c r="A296" s="3" t="str">
        <f t="shared" si="4"/>
        <v/>
      </c>
      <c r="B296" s="14"/>
      <c r="C296" s="15"/>
      <c r="D296" s="1"/>
      <c r="E296" s="1"/>
    </row>
    <row r="297" spans="1:5">
      <c r="A297" s="4" t="str">
        <f t="shared" si="4"/>
        <v/>
      </c>
      <c r="B297" s="12"/>
      <c r="C297" s="13"/>
      <c r="D297" s="2"/>
      <c r="E297" s="2"/>
    </row>
    <row r="298" spans="1:5">
      <c r="A298" s="3" t="str">
        <f t="shared" si="4"/>
        <v/>
      </c>
      <c r="B298" s="14"/>
      <c r="C298" s="15"/>
      <c r="D298" s="1"/>
      <c r="E298" s="1"/>
    </row>
    <row r="299" spans="1:5">
      <c r="A299" s="4" t="str">
        <f t="shared" si="4"/>
        <v/>
      </c>
      <c r="B299" s="12"/>
      <c r="C299" s="13"/>
      <c r="D299" s="2"/>
      <c r="E299" s="2"/>
    </row>
    <row r="300" spans="1:5">
      <c r="A300" s="3" t="str">
        <f t="shared" si="4"/>
        <v/>
      </c>
      <c r="B300" s="14"/>
      <c r="C300" s="15"/>
      <c r="D300" s="1"/>
      <c r="E300" s="1"/>
    </row>
    <row r="301" spans="1:5">
      <c r="A301" s="4" t="str">
        <f t="shared" si="4"/>
        <v/>
      </c>
      <c r="B301" s="12"/>
      <c r="C301" s="13"/>
      <c r="D301" s="2"/>
      <c r="E301" s="2"/>
    </row>
    <row r="302" spans="1:5">
      <c r="A302" s="3" t="str">
        <f t="shared" si="4"/>
        <v/>
      </c>
      <c r="B302" s="14"/>
      <c r="C302" s="15"/>
      <c r="D302" s="1"/>
      <c r="E302" s="1"/>
    </row>
    <row r="303" spans="1:5">
      <c r="A303" s="4" t="str">
        <f t="shared" si="4"/>
        <v/>
      </c>
      <c r="B303" s="12"/>
      <c r="C303" s="13"/>
      <c r="D303" s="2"/>
      <c r="E303" s="2"/>
    </row>
    <row r="304" spans="1:5">
      <c r="A304" s="3" t="str">
        <f t="shared" si="4"/>
        <v/>
      </c>
      <c r="B304" s="14"/>
      <c r="C304" s="15"/>
      <c r="D304" s="1"/>
      <c r="E304" s="1"/>
    </row>
    <row r="305" spans="1:5">
      <c r="A305" s="4" t="str">
        <f t="shared" si="4"/>
        <v/>
      </c>
      <c r="B305" s="12"/>
      <c r="C305" s="13"/>
      <c r="D305" s="2"/>
      <c r="E305" s="2"/>
    </row>
    <row r="306" spans="1:5">
      <c r="A306" s="3" t="str">
        <f t="shared" si="4"/>
        <v/>
      </c>
      <c r="B306" s="14"/>
      <c r="C306" s="15"/>
      <c r="D306" s="1"/>
      <c r="E306" s="1"/>
    </row>
    <row r="307" spans="1:5">
      <c r="A307" s="4" t="str">
        <f t="shared" si="4"/>
        <v/>
      </c>
      <c r="B307" s="12"/>
      <c r="C307" s="13"/>
      <c r="D307" s="2"/>
      <c r="E307" s="2"/>
    </row>
    <row r="308" spans="1:5">
      <c r="A308" s="3" t="str">
        <f t="shared" si="4"/>
        <v/>
      </c>
      <c r="B308" s="14"/>
      <c r="C308" s="15"/>
      <c r="D308" s="1"/>
      <c r="E308" s="1"/>
    </row>
    <row r="309" spans="1:5">
      <c r="A309" s="4" t="str">
        <f t="shared" si="4"/>
        <v/>
      </c>
      <c r="B309" s="12"/>
      <c r="C309" s="13"/>
      <c r="D309" s="2"/>
      <c r="E309" s="2"/>
    </row>
    <row r="310" spans="1:5">
      <c r="A310" s="3" t="str">
        <f t="shared" si="4"/>
        <v/>
      </c>
      <c r="B310" s="14"/>
      <c r="C310" s="15"/>
      <c r="D310" s="1"/>
      <c r="E310" s="1"/>
    </row>
    <row r="311" spans="1:5">
      <c r="A311" s="4" t="str">
        <f t="shared" si="4"/>
        <v/>
      </c>
      <c r="B311" s="12"/>
      <c r="C311" s="13"/>
      <c r="D311" s="2"/>
      <c r="E311" s="2"/>
    </row>
    <row r="312" spans="1:5">
      <c r="A312" s="3" t="str">
        <f t="shared" si="4"/>
        <v/>
      </c>
      <c r="B312" s="14"/>
      <c r="C312" s="15"/>
      <c r="D312" s="1"/>
      <c r="E312" s="1"/>
    </row>
    <row r="313" spans="1:5">
      <c r="A313" s="4" t="str">
        <f t="shared" si="4"/>
        <v/>
      </c>
      <c r="B313" s="12"/>
      <c r="C313" s="13"/>
      <c r="D313" s="2"/>
      <c r="E313" s="2"/>
    </row>
    <row r="314" spans="1:5">
      <c r="A314" s="3" t="str">
        <f t="shared" si="4"/>
        <v/>
      </c>
      <c r="B314" s="14"/>
      <c r="C314" s="15"/>
      <c r="D314" s="1"/>
      <c r="E314" s="1"/>
    </row>
    <row r="315" spans="1:5">
      <c r="A315" s="4" t="str">
        <f t="shared" si="4"/>
        <v/>
      </c>
      <c r="B315" s="12"/>
      <c r="C315" s="13"/>
      <c r="D315" s="2"/>
      <c r="E315" s="2"/>
    </row>
    <row r="316" spans="1:5">
      <c r="A316" s="3" t="str">
        <f t="shared" si="4"/>
        <v/>
      </c>
      <c r="B316" s="14"/>
      <c r="C316" s="15"/>
      <c r="D316" s="1"/>
      <c r="E316" s="1"/>
    </row>
    <row r="317" spans="1:5">
      <c r="A317" s="4" t="str">
        <f t="shared" si="4"/>
        <v/>
      </c>
      <c r="B317" s="12"/>
      <c r="C317" s="13"/>
      <c r="D317" s="2"/>
      <c r="E317" s="2"/>
    </row>
    <row r="318" spans="1:5">
      <c r="A318" s="3" t="str">
        <f t="shared" si="4"/>
        <v/>
      </c>
      <c r="B318" s="14"/>
      <c r="C318" s="15"/>
      <c r="D318" s="1"/>
      <c r="E318" s="1"/>
    </row>
    <row r="319" spans="1:5">
      <c r="A319" s="4" t="str">
        <f t="shared" si="4"/>
        <v/>
      </c>
      <c r="B319" s="12"/>
      <c r="C319" s="13"/>
      <c r="D319" s="2"/>
      <c r="E319" s="2"/>
    </row>
    <row r="320" spans="1:5">
      <c r="A320" s="3" t="str">
        <f t="shared" si="4"/>
        <v/>
      </c>
      <c r="B320" s="14"/>
      <c r="C320" s="15"/>
      <c r="D320" s="1"/>
      <c r="E320" s="1"/>
    </row>
    <row r="321" spans="1:5">
      <c r="A321" s="4" t="str">
        <f t="shared" si="4"/>
        <v/>
      </c>
      <c r="B321" s="12"/>
      <c r="C321" s="13"/>
      <c r="D321" s="2"/>
      <c r="E321" s="2"/>
    </row>
    <row r="322" spans="1:5">
      <c r="A322" s="3" t="str">
        <f t="shared" si="4"/>
        <v/>
      </c>
      <c r="B322" s="14"/>
      <c r="C322" s="15"/>
      <c r="D322" s="1"/>
      <c r="E322" s="1"/>
    </row>
    <row r="323" spans="1:5">
      <c r="A323" s="4" t="str">
        <f t="shared" si="4"/>
        <v/>
      </c>
      <c r="B323" s="12"/>
      <c r="C323" s="13"/>
      <c r="D323" s="2"/>
      <c r="E323" s="2"/>
    </row>
    <row r="324" spans="1:5">
      <c r="A324" s="3" t="str">
        <f t="shared" si="4"/>
        <v/>
      </c>
      <c r="B324" s="14"/>
      <c r="C324" s="15"/>
      <c r="D324" s="1"/>
      <c r="E324" s="1"/>
    </row>
    <row r="325" spans="1:5">
      <c r="A325" s="4" t="str">
        <f t="shared" ref="A325:A388" si="5">IF(B325="","",ROW()-4)</f>
        <v/>
      </c>
      <c r="B325" s="12"/>
      <c r="C325" s="13"/>
      <c r="D325" s="2"/>
      <c r="E325" s="2"/>
    </row>
    <row r="326" spans="1:5">
      <c r="A326" s="3" t="str">
        <f t="shared" si="5"/>
        <v/>
      </c>
      <c r="B326" s="14"/>
      <c r="C326" s="15"/>
      <c r="D326" s="1"/>
      <c r="E326" s="1"/>
    </row>
    <row r="327" spans="1:5">
      <c r="A327" s="4" t="str">
        <f t="shared" si="5"/>
        <v/>
      </c>
      <c r="B327" s="12"/>
      <c r="C327" s="13"/>
      <c r="D327" s="2"/>
      <c r="E327" s="2"/>
    </row>
    <row r="328" spans="1:5">
      <c r="A328" s="3" t="str">
        <f t="shared" si="5"/>
        <v/>
      </c>
      <c r="B328" s="14"/>
      <c r="C328" s="15"/>
      <c r="D328" s="1"/>
      <c r="E328" s="1"/>
    </row>
    <row r="329" spans="1:5">
      <c r="A329" s="4" t="str">
        <f t="shared" si="5"/>
        <v/>
      </c>
      <c r="B329" s="12"/>
      <c r="C329" s="13"/>
      <c r="D329" s="2"/>
      <c r="E329" s="2"/>
    </row>
    <row r="330" spans="1:5">
      <c r="A330" s="3" t="str">
        <f t="shared" si="5"/>
        <v/>
      </c>
      <c r="B330" s="14"/>
      <c r="C330" s="15"/>
      <c r="D330" s="1"/>
      <c r="E330" s="1"/>
    </row>
    <row r="331" spans="1:5">
      <c r="A331" s="4" t="str">
        <f t="shared" si="5"/>
        <v/>
      </c>
      <c r="B331" s="12"/>
      <c r="C331" s="13"/>
      <c r="D331" s="2"/>
      <c r="E331" s="2"/>
    </row>
    <row r="332" spans="1:5">
      <c r="A332" s="3" t="str">
        <f t="shared" si="5"/>
        <v/>
      </c>
      <c r="B332" s="14"/>
      <c r="C332" s="15"/>
      <c r="D332" s="1"/>
      <c r="E332" s="1"/>
    </row>
    <row r="333" spans="1:5">
      <c r="A333" s="4" t="str">
        <f t="shared" si="5"/>
        <v/>
      </c>
      <c r="B333" s="12"/>
      <c r="C333" s="13"/>
      <c r="D333" s="2"/>
      <c r="E333" s="2"/>
    </row>
    <row r="334" spans="1:5">
      <c r="A334" s="3" t="str">
        <f t="shared" si="5"/>
        <v/>
      </c>
      <c r="B334" s="14"/>
      <c r="C334" s="15"/>
      <c r="D334" s="1"/>
      <c r="E334" s="1"/>
    </row>
    <row r="335" spans="1:5">
      <c r="A335" s="4" t="str">
        <f t="shared" si="5"/>
        <v/>
      </c>
      <c r="B335" s="12"/>
      <c r="C335" s="13"/>
      <c r="D335" s="2"/>
      <c r="E335" s="2"/>
    </row>
    <row r="336" spans="1:5">
      <c r="A336" s="3" t="str">
        <f t="shared" si="5"/>
        <v/>
      </c>
      <c r="B336" s="14"/>
      <c r="C336" s="15"/>
      <c r="D336" s="1"/>
      <c r="E336" s="1"/>
    </row>
    <row r="337" spans="1:5">
      <c r="A337" s="4" t="str">
        <f t="shared" si="5"/>
        <v/>
      </c>
      <c r="B337" s="12"/>
      <c r="C337" s="13"/>
      <c r="D337" s="2"/>
      <c r="E337" s="2"/>
    </row>
    <row r="338" spans="1:5">
      <c r="A338" s="3" t="str">
        <f t="shared" si="5"/>
        <v/>
      </c>
      <c r="B338" s="14"/>
      <c r="C338" s="15"/>
      <c r="D338" s="1"/>
      <c r="E338" s="1"/>
    </row>
    <row r="339" spans="1:5">
      <c r="A339" s="4" t="str">
        <f t="shared" si="5"/>
        <v/>
      </c>
      <c r="B339" s="12"/>
      <c r="C339" s="13"/>
      <c r="D339" s="2"/>
      <c r="E339" s="2"/>
    </row>
    <row r="340" spans="1:5">
      <c r="A340" s="3" t="str">
        <f t="shared" si="5"/>
        <v/>
      </c>
      <c r="B340" s="14"/>
      <c r="C340" s="15"/>
      <c r="D340" s="1"/>
      <c r="E340" s="1"/>
    </row>
    <row r="341" spans="1:5">
      <c r="A341" s="4" t="str">
        <f t="shared" si="5"/>
        <v/>
      </c>
      <c r="B341" s="12"/>
      <c r="C341" s="13"/>
      <c r="D341" s="2"/>
      <c r="E341" s="2"/>
    </row>
    <row r="342" spans="1:5">
      <c r="A342" s="3" t="str">
        <f t="shared" si="5"/>
        <v/>
      </c>
      <c r="B342" s="14"/>
      <c r="C342" s="15"/>
      <c r="D342" s="1"/>
      <c r="E342" s="1"/>
    </row>
    <row r="343" spans="1:5">
      <c r="A343" s="4" t="str">
        <f t="shared" si="5"/>
        <v/>
      </c>
      <c r="B343" s="12"/>
      <c r="C343" s="13"/>
      <c r="D343" s="2"/>
      <c r="E343" s="2"/>
    </row>
    <row r="344" spans="1:5">
      <c r="A344" s="3" t="str">
        <f t="shared" si="5"/>
        <v/>
      </c>
      <c r="B344" s="14"/>
      <c r="C344" s="15"/>
      <c r="D344" s="1"/>
      <c r="E344" s="1"/>
    </row>
    <row r="345" spans="1:5">
      <c r="A345" s="4" t="str">
        <f t="shared" si="5"/>
        <v/>
      </c>
      <c r="B345" s="12"/>
      <c r="C345" s="13"/>
      <c r="D345" s="2"/>
      <c r="E345" s="2"/>
    </row>
    <row r="346" spans="1:5">
      <c r="A346" s="3" t="str">
        <f t="shared" si="5"/>
        <v/>
      </c>
      <c r="B346" s="14"/>
      <c r="C346" s="15"/>
      <c r="D346" s="1"/>
      <c r="E346" s="1"/>
    </row>
    <row r="347" spans="1:5">
      <c r="A347" s="4" t="str">
        <f t="shared" si="5"/>
        <v/>
      </c>
      <c r="B347" s="12"/>
      <c r="C347" s="13"/>
      <c r="D347" s="2"/>
      <c r="E347" s="2"/>
    </row>
    <row r="348" spans="1:5">
      <c r="A348" s="3" t="str">
        <f t="shared" si="5"/>
        <v/>
      </c>
      <c r="B348" s="14"/>
      <c r="C348" s="15"/>
      <c r="D348" s="1"/>
      <c r="E348" s="1"/>
    </row>
    <row r="349" spans="1:5">
      <c r="A349" s="4" t="str">
        <f t="shared" si="5"/>
        <v/>
      </c>
      <c r="B349" s="12"/>
      <c r="C349" s="13"/>
      <c r="D349" s="2"/>
      <c r="E349" s="2"/>
    </row>
    <row r="350" spans="1:5">
      <c r="A350" s="3" t="str">
        <f t="shared" si="5"/>
        <v/>
      </c>
      <c r="B350" s="14"/>
      <c r="C350" s="15"/>
      <c r="D350" s="1"/>
      <c r="E350" s="1"/>
    </row>
    <row r="351" spans="1:5">
      <c r="A351" s="4" t="str">
        <f t="shared" si="5"/>
        <v/>
      </c>
      <c r="B351" s="12"/>
      <c r="C351" s="13"/>
      <c r="D351" s="2"/>
      <c r="E351" s="2"/>
    </row>
    <row r="352" spans="1:5">
      <c r="A352" s="3" t="str">
        <f t="shared" si="5"/>
        <v/>
      </c>
      <c r="B352" s="14"/>
      <c r="C352" s="15"/>
      <c r="D352" s="1"/>
      <c r="E352" s="1"/>
    </row>
    <row r="353" spans="1:5">
      <c r="A353" s="4" t="str">
        <f t="shared" si="5"/>
        <v/>
      </c>
      <c r="B353" s="12"/>
      <c r="C353" s="13"/>
      <c r="D353" s="2"/>
      <c r="E353" s="2"/>
    </row>
    <row r="354" spans="1:5">
      <c r="A354" s="3" t="str">
        <f t="shared" si="5"/>
        <v/>
      </c>
      <c r="B354" s="14"/>
      <c r="C354" s="15"/>
      <c r="D354" s="1"/>
      <c r="E354" s="1"/>
    </row>
    <row r="355" spans="1:5">
      <c r="A355" s="4" t="str">
        <f t="shared" si="5"/>
        <v/>
      </c>
      <c r="B355" s="12"/>
      <c r="C355" s="13"/>
      <c r="D355" s="2"/>
      <c r="E355" s="2"/>
    </row>
    <row r="356" spans="1:5">
      <c r="A356" s="3" t="str">
        <f t="shared" si="5"/>
        <v/>
      </c>
      <c r="B356" s="14"/>
      <c r="C356" s="15"/>
      <c r="D356" s="1"/>
      <c r="E356" s="1"/>
    </row>
    <row r="357" spans="1:5">
      <c r="A357" s="4" t="str">
        <f t="shared" si="5"/>
        <v/>
      </c>
      <c r="B357" s="12"/>
      <c r="C357" s="13"/>
      <c r="D357" s="2"/>
      <c r="E357" s="2"/>
    </row>
    <row r="358" spans="1:5">
      <c r="A358" s="3" t="str">
        <f t="shared" si="5"/>
        <v/>
      </c>
      <c r="B358" s="14"/>
      <c r="C358" s="15"/>
      <c r="D358" s="1"/>
      <c r="E358" s="1"/>
    </row>
    <row r="359" spans="1:5">
      <c r="A359" s="4" t="str">
        <f t="shared" si="5"/>
        <v/>
      </c>
      <c r="B359" s="12"/>
      <c r="C359" s="13"/>
      <c r="D359" s="2"/>
      <c r="E359" s="2"/>
    </row>
    <row r="360" spans="1:5">
      <c r="A360" s="3" t="str">
        <f t="shared" si="5"/>
        <v/>
      </c>
      <c r="B360" s="14"/>
      <c r="C360" s="15"/>
      <c r="D360" s="1"/>
      <c r="E360" s="1"/>
    </row>
    <row r="361" spans="1:5">
      <c r="A361" s="4" t="str">
        <f t="shared" si="5"/>
        <v/>
      </c>
      <c r="B361" s="12"/>
      <c r="C361" s="13"/>
      <c r="D361" s="2"/>
      <c r="E361" s="2"/>
    </row>
    <row r="362" spans="1:5">
      <c r="A362" s="3" t="str">
        <f t="shared" si="5"/>
        <v/>
      </c>
      <c r="B362" s="14"/>
      <c r="C362" s="15"/>
      <c r="D362" s="1"/>
      <c r="E362" s="1"/>
    </row>
    <row r="363" spans="1:5">
      <c r="A363" s="4" t="str">
        <f t="shared" si="5"/>
        <v/>
      </c>
      <c r="B363" s="12"/>
      <c r="C363" s="13"/>
      <c r="D363" s="2"/>
      <c r="E363" s="2"/>
    </row>
    <row r="364" spans="1:5">
      <c r="A364" s="3" t="str">
        <f t="shared" si="5"/>
        <v/>
      </c>
      <c r="B364" s="14"/>
      <c r="C364" s="15"/>
      <c r="D364" s="1"/>
      <c r="E364" s="1"/>
    </row>
    <row r="365" spans="1:5">
      <c r="A365" s="4" t="str">
        <f t="shared" si="5"/>
        <v/>
      </c>
      <c r="B365" s="12"/>
      <c r="C365" s="13"/>
      <c r="D365" s="2"/>
      <c r="E365" s="2"/>
    </row>
    <row r="366" spans="1:5">
      <c r="A366" s="3" t="str">
        <f t="shared" si="5"/>
        <v/>
      </c>
      <c r="B366" s="14"/>
      <c r="C366" s="15"/>
      <c r="D366" s="1"/>
      <c r="E366" s="1"/>
    </row>
    <row r="367" spans="1:5">
      <c r="A367" s="4" t="str">
        <f t="shared" si="5"/>
        <v/>
      </c>
      <c r="B367" s="12"/>
      <c r="C367" s="13"/>
      <c r="D367" s="2"/>
      <c r="E367" s="2"/>
    </row>
    <row r="368" spans="1:5">
      <c r="A368" s="3" t="str">
        <f t="shared" si="5"/>
        <v/>
      </c>
      <c r="B368" s="14"/>
      <c r="C368" s="15"/>
      <c r="D368" s="1"/>
      <c r="E368" s="1"/>
    </row>
    <row r="369" spans="1:5">
      <c r="A369" s="4" t="str">
        <f t="shared" si="5"/>
        <v/>
      </c>
      <c r="B369" s="12"/>
      <c r="C369" s="13"/>
      <c r="D369" s="2"/>
      <c r="E369" s="2"/>
    </row>
    <row r="370" spans="1:5">
      <c r="A370" s="3" t="str">
        <f t="shared" si="5"/>
        <v/>
      </c>
      <c r="B370" s="14"/>
      <c r="C370" s="15"/>
      <c r="D370" s="1"/>
      <c r="E370" s="1"/>
    </row>
    <row r="371" spans="1:5">
      <c r="A371" s="4" t="str">
        <f t="shared" si="5"/>
        <v/>
      </c>
      <c r="B371" s="12"/>
      <c r="C371" s="13"/>
      <c r="D371" s="2"/>
      <c r="E371" s="2"/>
    </row>
    <row r="372" spans="1:5">
      <c r="A372" s="3" t="str">
        <f t="shared" si="5"/>
        <v/>
      </c>
      <c r="B372" s="14"/>
      <c r="C372" s="15"/>
      <c r="D372" s="1"/>
      <c r="E372" s="1"/>
    </row>
    <row r="373" spans="1:5">
      <c r="A373" s="4" t="str">
        <f t="shared" si="5"/>
        <v/>
      </c>
      <c r="B373" s="12"/>
      <c r="C373" s="13"/>
      <c r="D373" s="2"/>
      <c r="E373" s="2"/>
    </row>
    <row r="374" spans="1:5">
      <c r="A374" s="3" t="str">
        <f t="shared" si="5"/>
        <v/>
      </c>
      <c r="B374" s="14"/>
      <c r="C374" s="15"/>
      <c r="D374" s="1"/>
      <c r="E374" s="1"/>
    </row>
    <row r="375" spans="1:5">
      <c r="A375" s="4" t="str">
        <f t="shared" si="5"/>
        <v/>
      </c>
      <c r="B375" s="12"/>
      <c r="C375" s="13"/>
      <c r="D375" s="2"/>
      <c r="E375" s="2"/>
    </row>
    <row r="376" spans="1:5">
      <c r="A376" s="3" t="str">
        <f t="shared" si="5"/>
        <v/>
      </c>
      <c r="B376" s="14"/>
      <c r="C376" s="15"/>
      <c r="D376" s="1"/>
      <c r="E376" s="1"/>
    </row>
    <row r="377" spans="1:5">
      <c r="A377" s="4" t="str">
        <f t="shared" si="5"/>
        <v/>
      </c>
      <c r="B377" s="12"/>
      <c r="C377" s="13"/>
      <c r="D377" s="2"/>
      <c r="E377" s="2"/>
    </row>
    <row r="378" spans="1:5">
      <c r="A378" s="3" t="str">
        <f t="shared" si="5"/>
        <v/>
      </c>
      <c r="B378" s="14"/>
      <c r="C378" s="15"/>
      <c r="D378" s="1"/>
      <c r="E378" s="1"/>
    </row>
    <row r="379" spans="1:5">
      <c r="A379" s="4" t="str">
        <f t="shared" si="5"/>
        <v/>
      </c>
      <c r="B379" s="12"/>
      <c r="C379" s="13"/>
      <c r="D379" s="2"/>
      <c r="E379" s="2"/>
    </row>
    <row r="380" spans="1:5">
      <c r="A380" s="3" t="str">
        <f t="shared" si="5"/>
        <v/>
      </c>
      <c r="B380" s="14"/>
      <c r="C380" s="15"/>
      <c r="D380" s="1"/>
      <c r="E380" s="1"/>
    </row>
    <row r="381" spans="1:5">
      <c r="A381" s="4" t="str">
        <f t="shared" si="5"/>
        <v/>
      </c>
      <c r="B381" s="12"/>
      <c r="C381" s="13"/>
      <c r="D381" s="2"/>
      <c r="E381" s="2"/>
    </row>
    <row r="382" spans="1:5">
      <c r="A382" s="3" t="str">
        <f t="shared" si="5"/>
        <v/>
      </c>
      <c r="B382" s="14"/>
      <c r="C382" s="15"/>
      <c r="D382" s="1"/>
      <c r="E382" s="1"/>
    </row>
    <row r="383" spans="1:5">
      <c r="A383" s="4" t="str">
        <f t="shared" si="5"/>
        <v/>
      </c>
      <c r="B383" s="12"/>
      <c r="C383" s="13"/>
      <c r="D383" s="2"/>
      <c r="E383" s="2"/>
    </row>
    <row r="384" spans="1:5">
      <c r="A384" s="3" t="str">
        <f t="shared" si="5"/>
        <v/>
      </c>
      <c r="B384" s="14"/>
      <c r="C384" s="15"/>
      <c r="D384" s="1"/>
      <c r="E384" s="1"/>
    </row>
    <row r="385" spans="1:5">
      <c r="A385" s="4" t="str">
        <f t="shared" si="5"/>
        <v/>
      </c>
      <c r="B385" s="12"/>
      <c r="C385" s="13"/>
      <c r="D385" s="2"/>
      <c r="E385" s="2"/>
    </row>
    <row r="386" spans="1:5">
      <c r="A386" s="3" t="str">
        <f t="shared" si="5"/>
        <v/>
      </c>
      <c r="B386" s="14"/>
      <c r="C386" s="15"/>
      <c r="D386" s="1"/>
      <c r="E386" s="1"/>
    </row>
    <row r="387" spans="1:5">
      <c r="A387" s="4" t="str">
        <f t="shared" si="5"/>
        <v/>
      </c>
      <c r="B387" s="12"/>
      <c r="C387" s="13"/>
      <c r="D387" s="2"/>
      <c r="E387" s="2"/>
    </row>
    <row r="388" spans="1:5">
      <c r="A388" s="3" t="str">
        <f t="shared" si="5"/>
        <v/>
      </c>
      <c r="B388" s="14"/>
      <c r="C388" s="15"/>
      <c r="D388" s="1"/>
      <c r="E388" s="1"/>
    </row>
    <row r="389" spans="1:5">
      <c r="A389" s="4" t="str">
        <f t="shared" ref="A389:A452" si="6">IF(B389="","",ROW()-4)</f>
        <v/>
      </c>
      <c r="B389" s="12"/>
      <c r="C389" s="13"/>
      <c r="D389" s="2"/>
      <c r="E389" s="2"/>
    </row>
    <row r="390" spans="1:5">
      <c r="A390" s="3" t="str">
        <f t="shared" si="6"/>
        <v/>
      </c>
      <c r="B390" s="14"/>
      <c r="C390" s="15"/>
      <c r="D390" s="1"/>
      <c r="E390" s="1"/>
    </row>
    <row r="391" spans="1:5">
      <c r="A391" s="4" t="str">
        <f t="shared" si="6"/>
        <v/>
      </c>
      <c r="B391" s="12"/>
      <c r="C391" s="13"/>
      <c r="D391" s="2"/>
      <c r="E391" s="2"/>
    </row>
    <row r="392" spans="1:5">
      <c r="A392" s="3" t="str">
        <f t="shared" si="6"/>
        <v/>
      </c>
      <c r="B392" s="14"/>
      <c r="C392" s="15"/>
      <c r="D392" s="1"/>
      <c r="E392" s="1"/>
    </row>
    <row r="393" spans="1:5">
      <c r="A393" s="4" t="str">
        <f t="shared" si="6"/>
        <v/>
      </c>
      <c r="B393" s="12"/>
      <c r="C393" s="13"/>
      <c r="D393" s="2"/>
      <c r="E393" s="2"/>
    </row>
    <row r="394" spans="1:5">
      <c r="A394" s="3" t="str">
        <f t="shared" si="6"/>
        <v/>
      </c>
      <c r="B394" s="14"/>
      <c r="C394" s="15"/>
      <c r="D394" s="1"/>
      <c r="E394" s="1"/>
    </row>
    <row r="395" spans="1:5">
      <c r="A395" s="4" t="str">
        <f t="shared" si="6"/>
        <v/>
      </c>
      <c r="B395" s="12"/>
      <c r="C395" s="13"/>
      <c r="D395" s="2"/>
      <c r="E395" s="2"/>
    </row>
    <row r="396" spans="1:5">
      <c r="A396" s="3" t="str">
        <f t="shared" si="6"/>
        <v/>
      </c>
      <c r="B396" s="14"/>
      <c r="C396" s="15"/>
      <c r="D396" s="1"/>
      <c r="E396" s="1"/>
    </row>
    <row r="397" spans="1:5">
      <c r="A397" s="4" t="str">
        <f t="shared" si="6"/>
        <v/>
      </c>
      <c r="B397" s="12"/>
      <c r="C397" s="13"/>
      <c r="D397" s="2"/>
      <c r="E397" s="2"/>
    </row>
    <row r="398" spans="1:5">
      <c r="A398" s="3" t="str">
        <f t="shared" si="6"/>
        <v/>
      </c>
      <c r="B398" s="14"/>
      <c r="C398" s="15"/>
      <c r="D398" s="1"/>
      <c r="E398" s="1"/>
    </row>
    <row r="399" spans="1:5">
      <c r="A399" s="4" t="str">
        <f t="shared" si="6"/>
        <v/>
      </c>
      <c r="B399" s="12"/>
      <c r="C399" s="13"/>
      <c r="D399" s="2"/>
      <c r="E399" s="2"/>
    </row>
    <row r="400" spans="1:5">
      <c r="A400" s="3" t="str">
        <f t="shared" si="6"/>
        <v/>
      </c>
      <c r="B400" s="14"/>
      <c r="C400" s="15"/>
      <c r="D400" s="1"/>
      <c r="E400" s="1"/>
    </row>
    <row r="401" spans="1:5">
      <c r="A401" s="4" t="str">
        <f t="shared" si="6"/>
        <v/>
      </c>
      <c r="B401" s="12"/>
      <c r="C401" s="13"/>
      <c r="D401" s="2"/>
      <c r="E401" s="2"/>
    </row>
    <row r="402" spans="1:5">
      <c r="A402" s="3" t="str">
        <f t="shared" si="6"/>
        <v/>
      </c>
      <c r="B402" s="14"/>
      <c r="C402" s="15"/>
      <c r="D402" s="1"/>
      <c r="E402" s="1"/>
    </row>
    <row r="403" spans="1:5">
      <c r="A403" s="4" t="str">
        <f t="shared" si="6"/>
        <v/>
      </c>
      <c r="B403" s="12"/>
      <c r="C403" s="13"/>
      <c r="D403" s="2"/>
      <c r="E403" s="2"/>
    </row>
    <row r="404" spans="1:5">
      <c r="A404" s="3" t="str">
        <f t="shared" si="6"/>
        <v/>
      </c>
      <c r="B404" s="14"/>
      <c r="C404" s="15"/>
      <c r="D404" s="1"/>
      <c r="E404" s="1"/>
    </row>
    <row r="405" spans="1:5">
      <c r="A405" s="4" t="str">
        <f t="shared" si="6"/>
        <v/>
      </c>
      <c r="B405" s="12"/>
      <c r="C405" s="13"/>
      <c r="D405" s="2"/>
      <c r="E405" s="2"/>
    </row>
    <row r="406" spans="1:5">
      <c r="A406" s="3" t="str">
        <f t="shared" si="6"/>
        <v/>
      </c>
      <c r="B406" s="14"/>
      <c r="C406" s="15"/>
      <c r="D406" s="1"/>
      <c r="E406" s="1"/>
    </row>
    <row r="407" spans="1:5">
      <c r="A407" s="4" t="str">
        <f t="shared" si="6"/>
        <v/>
      </c>
      <c r="B407" s="12"/>
      <c r="C407" s="13"/>
      <c r="D407" s="2"/>
      <c r="E407" s="2"/>
    </row>
    <row r="408" spans="1:5">
      <c r="A408" s="3" t="str">
        <f t="shared" si="6"/>
        <v/>
      </c>
      <c r="B408" s="14"/>
      <c r="C408" s="15"/>
      <c r="D408" s="1"/>
      <c r="E408" s="1"/>
    </row>
    <row r="409" spans="1:5">
      <c r="A409" s="4" t="str">
        <f t="shared" si="6"/>
        <v/>
      </c>
      <c r="B409" s="12"/>
      <c r="C409" s="13"/>
      <c r="D409" s="2"/>
      <c r="E409" s="2"/>
    </row>
    <row r="410" spans="1:5">
      <c r="A410" s="3" t="str">
        <f t="shared" si="6"/>
        <v/>
      </c>
      <c r="B410" s="14"/>
      <c r="C410" s="15"/>
      <c r="D410" s="1"/>
      <c r="E410" s="1"/>
    </row>
    <row r="411" spans="1:5">
      <c r="A411" s="4" t="str">
        <f t="shared" si="6"/>
        <v/>
      </c>
      <c r="B411" s="12"/>
      <c r="C411" s="13"/>
      <c r="D411" s="2"/>
      <c r="E411" s="2"/>
    </row>
    <row r="412" spans="1:5">
      <c r="A412" s="3" t="str">
        <f t="shared" si="6"/>
        <v/>
      </c>
      <c r="B412" s="14"/>
      <c r="C412" s="15"/>
      <c r="D412" s="1"/>
      <c r="E412" s="1"/>
    </row>
    <row r="413" spans="1:5">
      <c r="A413" s="4" t="str">
        <f t="shared" si="6"/>
        <v/>
      </c>
      <c r="B413" s="12"/>
      <c r="C413" s="13"/>
      <c r="D413" s="2"/>
      <c r="E413" s="2"/>
    </row>
    <row r="414" spans="1:5">
      <c r="A414" s="3" t="str">
        <f t="shared" si="6"/>
        <v/>
      </c>
      <c r="B414" s="14"/>
      <c r="C414" s="15"/>
      <c r="D414" s="1"/>
      <c r="E414" s="1"/>
    </row>
    <row r="415" spans="1:5">
      <c r="A415" s="4" t="str">
        <f t="shared" si="6"/>
        <v/>
      </c>
      <c r="B415" s="12"/>
      <c r="C415" s="13"/>
      <c r="D415" s="2"/>
      <c r="E415" s="2"/>
    </row>
    <row r="416" spans="1:5">
      <c r="A416" s="3" t="str">
        <f t="shared" si="6"/>
        <v/>
      </c>
      <c r="B416" s="14"/>
      <c r="C416" s="15"/>
      <c r="D416" s="1"/>
      <c r="E416" s="1"/>
    </row>
    <row r="417" spans="1:5">
      <c r="A417" s="4" t="str">
        <f t="shared" si="6"/>
        <v/>
      </c>
      <c r="B417" s="12"/>
      <c r="C417" s="13"/>
      <c r="D417" s="2"/>
      <c r="E417" s="2"/>
    </row>
    <row r="418" spans="1:5">
      <c r="A418" s="3" t="str">
        <f t="shared" si="6"/>
        <v/>
      </c>
      <c r="B418" s="14"/>
      <c r="C418" s="15"/>
      <c r="D418" s="1"/>
      <c r="E418" s="1"/>
    </row>
    <row r="419" spans="1:5">
      <c r="A419" s="4" t="str">
        <f t="shared" si="6"/>
        <v/>
      </c>
      <c r="B419" s="12"/>
      <c r="C419" s="13"/>
      <c r="D419" s="2"/>
      <c r="E419" s="2"/>
    </row>
    <row r="420" spans="1:5">
      <c r="A420" s="3" t="str">
        <f t="shared" si="6"/>
        <v/>
      </c>
      <c r="B420" s="14"/>
      <c r="C420" s="15"/>
      <c r="D420" s="1"/>
      <c r="E420" s="1"/>
    </row>
    <row r="421" spans="1:5">
      <c r="A421" s="4" t="str">
        <f t="shared" si="6"/>
        <v/>
      </c>
      <c r="B421" s="12"/>
      <c r="C421" s="13"/>
      <c r="D421" s="2"/>
      <c r="E421" s="2"/>
    </row>
    <row r="422" spans="1:5">
      <c r="A422" s="3" t="str">
        <f t="shared" si="6"/>
        <v/>
      </c>
      <c r="B422" s="14"/>
      <c r="C422" s="15"/>
      <c r="D422" s="1"/>
      <c r="E422" s="1"/>
    </row>
    <row r="423" spans="1:5">
      <c r="A423" s="4" t="str">
        <f t="shared" si="6"/>
        <v/>
      </c>
      <c r="B423" s="12"/>
      <c r="C423" s="13"/>
      <c r="D423" s="2"/>
      <c r="E423" s="2"/>
    </row>
    <row r="424" spans="1:5">
      <c r="A424" s="3" t="str">
        <f t="shared" si="6"/>
        <v/>
      </c>
      <c r="B424" s="14"/>
      <c r="C424" s="15"/>
      <c r="D424" s="1"/>
      <c r="E424" s="1"/>
    </row>
    <row r="425" spans="1:5">
      <c r="A425" s="4" t="str">
        <f t="shared" si="6"/>
        <v/>
      </c>
      <c r="B425" s="12"/>
      <c r="C425" s="13"/>
      <c r="D425" s="2"/>
      <c r="E425" s="2"/>
    </row>
    <row r="426" spans="1:5">
      <c r="A426" s="3" t="str">
        <f t="shared" si="6"/>
        <v/>
      </c>
      <c r="B426" s="14"/>
      <c r="C426" s="15"/>
      <c r="D426" s="1"/>
      <c r="E426" s="1"/>
    </row>
    <row r="427" spans="1:5">
      <c r="A427" s="4" t="str">
        <f t="shared" si="6"/>
        <v/>
      </c>
      <c r="B427" s="12"/>
      <c r="C427" s="13"/>
      <c r="D427" s="2"/>
      <c r="E427" s="2"/>
    </row>
    <row r="428" spans="1:5">
      <c r="A428" s="3" t="str">
        <f t="shared" si="6"/>
        <v/>
      </c>
      <c r="B428" s="14"/>
      <c r="C428" s="15"/>
      <c r="D428" s="1"/>
      <c r="E428" s="1"/>
    </row>
    <row r="429" spans="1:5">
      <c r="A429" s="4" t="str">
        <f t="shared" si="6"/>
        <v/>
      </c>
      <c r="B429" s="12"/>
      <c r="C429" s="13"/>
      <c r="D429" s="2"/>
      <c r="E429" s="2"/>
    </row>
    <row r="430" spans="1:5">
      <c r="A430" s="3" t="str">
        <f t="shared" si="6"/>
        <v/>
      </c>
      <c r="B430" s="14"/>
      <c r="C430" s="15"/>
      <c r="D430" s="1"/>
      <c r="E430" s="1"/>
    </row>
    <row r="431" spans="1:5">
      <c r="A431" s="4" t="str">
        <f t="shared" si="6"/>
        <v/>
      </c>
      <c r="B431" s="12"/>
      <c r="C431" s="13"/>
      <c r="D431" s="2"/>
      <c r="E431" s="2"/>
    </row>
    <row r="432" spans="1:5">
      <c r="A432" s="3" t="str">
        <f t="shared" si="6"/>
        <v/>
      </c>
      <c r="B432" s="14"/>
      <c r="C432" s="15"/>
      <c r="D432" s="1"/>
      <c r="E432" s="1"/>
    </row>
    <row r="433" spans="1:5">
      <c r="A433" s="4" t="str">
        <f t="shared" si="6"/>
        <v/>
      </c>
      <c r="B433" s="12"/>
      <c r="C433" s="13"/>
      <c r="D433" s="2"/>
      <c r="E433" s="2"/>
    </row>
    <row r="434" spans="1:5">
      <c r="A434" s="3" t="str">
        <f t="shared" si="6"/>
        <v/>
      </c>
      <c r="B434" s="14"/>
      <c r="C434" s="15"/>
      <c r="D434" s="1"/>
      <c r="E434" s="1"/>
    </row>
    <row r="435" spans="1:5">
      <c r="A435" s="4" t="str">
        <f t="shared" si="6"/>
        <v/>
      </c>
      <c r="B435" s="12"/>
      <c r="C435" s="13"/>
      <c r="D435" s="2"/>
      <c r="E435" s="2"/>
    </row>
    <row r="436" spans="1:5">
      <c r="A436" s="3" t="str">
        <f t="shared" si="6"/>
        <v/>
      </c>
      <c r="B436" s="14"/>
      <c r="C436" s="15"/>
      <c r="D436" s="1"/>
      <c r="E436" s="1"/>
    </row>
    <row r="437" spans="1:5">
      <c r="A437" s="4" t="str">
        <f t="shared" si="6"/>
        <v/>
      </c>
      <c r="B437" s="12"/>
      <c r="C437" s="13"/>
      <c r="D437" s="2"/>
      <c r="E437" s="2"/>
    </row>
    <row r="438" spans="1:5">
      <c r="A438" s="3" t="str">
        <f t="shared" si="6"/>
        <v/>
      </c>
      <c r="B438" s="14"/>
      <c r="C438" s="15"/>
      <c r="D438" s="1"/>
      <c r="E438" s="1"/>
    </row>
    <row r="439" spans="1:5">
      <c r="A439" s="4" t="str">
        <f t="shared" si="6"/>
        <v/>
      </c>
      <c r="B439" s="12"/>
      <c r="C439" s="13"/>
      <c r="D439" s="2"/>
      <c r="E439" s="2"/>
    </row>
    <row r="440" spans="1:5">
      <c r="A440" s="3" t="str">
        <f t="shared" si="6"/>
        <v/>
      </c>
      <c r="B440" s="14"/>
      <c r="C440" s="15"/>
      <c r="D440" s="1"/>
      <c r="E440" s="1"/>
    </row>
    <row r="441" spans="1:5">
      <c r="A441" s="4" t="str">
        <f t="shared" si="6"/>
        <v/>
      </c>
      <c r="B441" s="12"/>
      <c r="C441" s="13"/>
      <c r="D441" s="2"/>
      <c r="E441" s="2"/>
    </row>
    <row r="442" spans="1:5">
      <c r="A442" s="3" t="str">
        <f t="shared" si="6"/>
        <v/>
      </c>
      <c r="B442" s="14"/>
      <c r="C442" s="15"/>
      <c r="D442" s="1"/>
      <c r="E442" s="1"/>
    </row>
    <row r="443" spans="1:5">
      <c r="A443" s="4" t="str">
        <f t="shared" si="6"/>
        <v/>
      </c>
      <c r="B443" s="12"/>
      <c r="C443" s="13"/>
      <c r="D443" s="2"/>
      <c r="E443" s="2"/>
    </row>
    <row r="444" spans="1:5">
      <c r="A444" s="3" t="str">
        <f t="shared" si="6"/>
        <v/>
      </c>
      <c r="B444" s="14"/>
      <c r="C444" s="15"/>
      <c r="D444" s="1"/>
      <c r="E444" s="1"/>
    </row>
    <row r="445" spans="1:5">
      <c r="A445" s="4" t="str">
        <f t="shared" si="6"/>
        <v/>
      </c>
      <c r="B445" s="12"/>
      <c r="C445" s="13"/>
      <c r="D445" s="2"/>
      <c r="E445" s="2"/>
    </row>
    <row r="446" spans="1:5">
      <c r="A446" s="3" t="str">
        <f t="shared" si="6"/>
        <v/>
      </c>
      <c r="B446" s="14"/>
      <c r="C446" s="15"/>
      <c r="D446" s="1"/>
      <c r="E446" s="1"/>
    </row>
    <row r="447" spans="1:5">
      <c r="A447" s="4" t="str">
        <f t="shared" si="6"/>
        <v/>
      </c>
      <c r="B447" s="12"/>
      <c r="C447" s="13"/>
      <c r="D447" s="2"/>
      <c r="E447" s="2"/>
    </row>
    <row r="448" spans="1:5">
      <c r="A448" s="3" t="str">
        <f t="shared" si="6"/>
        <v/>
      </c>
      <c r="B448" s="14"/>
      <c r="C448" s="15"/>
      <c r="D448" s="1"/>
      <c r="E448" s="1"/>
    </row>
    <row r="449" spans="1:5">
      <c r="A449" s="4" t="str">
        <f t="shared" si="6"/>
        <v/>
      </c>
      <c r="B449" s="12"/>
      <c r="C449" s="13"/>
      <c r="D449" s="2"/>
      <c r="E449" s="2"/>
    </row>
    <row r="450" spans="1:5">
      <c r="A450" s="3" t="str">
        <f t="shared" si="6"/>
        <v/>
      </c>
      <c r="B450" s="14"/>
      <c r="C450" s="15"/>
      <c r="D450" s="1"/>
      <c r="E450" s="1"/>
    </row>
    <row r="451" spans="1:5">
      <c r="A451" s="4" t="str">
        <f t="shared" si="6"/>
        <v/>
      </c>
      <c r="B451" s="12"/>
      <c r="C451" s="13"/>
      <c r="D451" s="2"/>
      <c r="E451" s="2"/>
    </row>
    <row r="452" spans="1:5">
      <c r="A452" s="3" t="str">
        <f t="shared" si="6"/>
        <v/>
      </c>
      <c r="B452" s="14"/>
      <c r="C452" s="15"/>
      <c r="D452" s="1"/>
      <c r="E452" s="1"/>
    </row>
    <row r="453" spans="1:5">
      <c r="A453" s="4" t="str">
        <f t="shared" ref="A453:A516" si="7">IF(B453="","",ROW()-4)</f>
        <v/>
      </c>
      <c r="B453" s="12"/>
      <c r="C453" s="13"/>
      <c r="D453" s="2"/>
      <c r="E453" s="2"/>
    </row>
    <row r="454" spans="1:5">
      <c r="A454" s="3" t="str">
        <f t="shared" si="7"/>
        <v/>
      </c>
      <c r="B454" s="14"/>
      <c r="C454" s="15"/>
      <c r="D454" s="1"/>
      <c r="E454" s="1"/>
    </row>
    <row r="455" spans="1:5">
      <c r="A455" s="4" t="str">
        <f t="shared" si="7"/>
        <v/>
      </c>
      <c r="B455" s="12"/>
      <c r="C455" s="13"/>
      <c r="D455" s="2"/>
      <c r="E455" s="2"/>
    </row>
    <row r="456" spans="1:5">
      <c r="A456" s="3" t="str">
        <f t="shared" si="7"/>
        <v/>
      </c>
      <c r="B456" s="14"/>
      <c r="C456" s="15"/>
      <c r="D456" s="1"/>
      <c r="E456" s="1"/>
    </row>
    <row r="457" spans="1:5">
      <c r="A457" s="4" t="str">
        <f t="shared" si="7"/>
        <v/>
      </c>
      <c r="B457" s="12"/>
      <c r="C457" s="13"/>
      <c r="D457" s="2"/>
      <c r="E457" s="2"/>
    </row>
    <row r="458" spans="1:5">
      <c r="A458" s="3" t="str">
        <f t="shared" si="7"/>
        <v/>
      </c>
      <c r="B458" s="14"/>
      <c r="C458" s="15"/>
      <c r="D458" s="1"/>
      <c r="E458" s="1"/>
    </row>
    <row r="459" spans="1:5">
      <c r="A459" s="4" t="str">
        <f t="shared" si="7"/>
        <v/>
      </c>
      <c r="B459" s="12"/>
      <c r="C459" s="13"/>
      <c r="D459" s="2"/>
      <c r="E459" s="2"/>
    </row>
    <row r="460" spans="1:5">
      <c r="A460" s="3" t="str">
        <f t="shared" si="7"/>
        <v/>
      </c>
      <c r="B460" s="14"/>
      <c r="C460" s="15"/>
      <c r="D460" s="1"/>
      <c r="E460" s="1"/>
    </row>
    <row r="461" spans="1:5">
      <c r="A461" s="4" t="str">
        <f t="shared" si="7"/>
        <v/>
      </c>
      <c r="B461" s="12"/>
      <c r="C461" s="13"/>
      <c r="D461" s="2"/>
      <c r="E461" s="2"/>
    </row>
    <row r="462" spans="1:5">
      <c r="A462" s="3" t="str">
        <f t="shared" si="7"/>
        <v/>
      </c>
      <c r="B462" s="14"/>
      <c r="C462" s="15"/>
      <c r="D462" s="1"/>
      <c r="E462" s="1"/>
    </row>
    <row r="463" spans="1:5">
      <c r="A463" s="4" t="str">
        <f t="shared" si="7"/>
        <v/>
      </c>
      <c r="B463" s="12"/>
      <c r="C463" s="13"/>
      <c r="D463" s="2"/>
      <c r="E463" s="2"/>
    </row>
    <row r="464" spans="1:5">
      <c r="A464" s="3" t="str">
        <f t="shared" si="7"/>
        <v/>
      </c>
      <c r="B464" s="14"/>
      <c r="C464" s="15"/>
      <c r="D464" s="1"/>
      <c r="E464" s="1"/>
    </row>
    <row r="465" spans="1:5">
      <c r="A465" s="4" t="str">
        <f t="shared" si="7"/>
        <v/>
      </c>
      <c r="B465" s="12"/>
      <c r="C465" s="13"/>
      <c r="D465" s="2"/>
      <c r="E465" s="2"/>
    </row>
    <row r="466" spans="1:5">
      <c r="A466" s="3" t="str">
        <f t="shared" si="7"/>
        <v/>
      </c>
      <c r="B466" s="14"/>
      <c r="C466" s="15"/>
      <c r="D466" s="1"/>
      <c r="E466" s="1"/>
    </row>
    <row r="467" spans="1:5">
      <c r="A467" s="4" t="str">
        <f t="shared" si="7"/>
        <v/>
      </c>
      <c r="B467" s="12"/>
      <c r="C467" s="13"/>
      <c r="D467" s="2"/>
      <c r="E467" s="2"/>
    </row>
    <row r="468" spans="1:5">
      <c r="A468" s="3" t="str">
        <f t="shared" si="7"/>
        <v/>
      </c>
      <c r="B468" s="14"/>
      <c r="C468" s="15"/>
      <c r="D468" s="1"/>
      <c r="E468" s="1"/>
    </row>
    <row r="469" spans="1:5">
      <c r="A469" s="4" t="str">
        <f t="shared" si="7"/>
        <v/>
      </c>
      <c r="B469" s="12"/>
      <c r="C469" s="13"/>
      <c r="D469" s="2"/>
      <c r="E469" s="2"/>
    </row>
    <row r="470" spans="1:5">
      <c r="A470" s="3" t="str">
        <f t="shared" si="7"/>
        <v/>
      </c>
      <c r="B470" s="14"/>
      <c r="C470" s="15"/>
      <c r="D470" s="1"/>
      <c r="E470" s="1"/>
    </row>
    <row r="471" spans="1:5">
      <c r="A471" s="4" t="str">
        <f t="shared" si="7"/>
        <v/>
      </c>
      <c r="B471" s="12"/>
      <c r="C471" s="13"/>
      <c r="D471" s="2"/>
      <c r="E471" s="2"/>
    </row>
    <row r="472" spans="1:5">
      <c r="A472" s="3" t="str">
        <f t="shared" si="7"/>
        <v/>
      </c>
      <c r="B472" s="14"/>
      <c r="C472" s="15"/>
      <c r="D472" s="1"/>
      <c r="E472" s="1"/>
    </row>
    <row r="473" spans="1:5">
      <c r="A473" s="4" t="str">
        <f t="shared" si="7"/>
        <v/>
      </c>
      <c r="B473" s="12"/>
      <c r="C473" s="13"/>
      <c r="D473" s="2"/>
      <c r="E473" s="2"/>
    </row>
    <row r="474" spans="1:5">
      <c r="A474" s="3" t="str">
        <f t="shared" si="7"/>
        <v/>
      </c>
      <c r="B474" s="14"/>
      <c r="C474" s="15"/>
      <c r="D474" s="1"/>
      <c r="E474" s="1"/>
    </row>
    <row r="475" spans="1:5">
      <c r="A475" s="4" t="str">
        <f t="shared" si="7"/>
        <v/>
      </c>
      <c r="B475" s="12"/>
      <c r="C475" s="13"/>
      <c r="D475" s="2"/>
      <c r="E475" s="2"/>
    </row>
    <row r="476" spans="1:5">
      <c r="A476" s="3" t="str">
        <f t="shared" si="7"/>
        <v/>
      </c>
      <c r="B476" s="14"/>
      <c r="C476" s="15"/>
      <c r="D476" s="1"/>
      <c r="E476" s="1"/>
    </row>
    <row r="477" spans="1:5">
      <c r="A477" s="4" t="str">
        <f t="shared" si="7"/>
        <v/>
      </c>
      <c r="B477" s="12"/>
      <c r="C477" s="13"/>
      <c r="D477" s="2"/>
      <c r="E477" s="2"/>
    </row>
    <row r="478" spans="1:5">
      <c r="A478" s="3" t="str">
        <f t="shared" si="7"/>
        <v/>
      </c>
      <c r="B478" s="14"/>
      <c r="C478" s="15"/>
      <c r="D478" s="1"/>
      <c r="E478" s="1"/>
    </row>
    <row r="479" spans="1:5">
      <c r="A479" s="4" t="str">
        <f t="shared" si="7"/>
        <v/>
      </c>
      <c r="B479" s="12"/>
      <c r="C479" s="13"/>
      <c r="D479" s="2"/>
      <c r="E479" s="2"/>
    </row>
    <row r="480" spans="1:5">
      <c r="A480" s="3" t="str">
        <f t="shared" si="7"/>
        <v/>
      </c>
      <c r="B480" s="14"/>
      <c r="C480" s="15"/>
      <c r="D480" s="1"/>
      <c r="E480" s="1"/>
    </row>
    <row r="481" spans="1:5">
      <c r="A481" s="4" t="str">
        <f t="shared" si="7"/>
        <v/>
      </c>
      <c r="B481" s="12"/>
      <c r="C481" s="13"/>
      <c r="D481" s="2"/>
      <c r="E481" s="2"/>
    </row>
    <row r="482" spans="1:5">
      <c r="A482" s="3" t="str">
        <f t="shared" si="7"/>
        <v/>
      </c>
      <c r="B482" s="14"/>
      <c r="C482" s="15"/>
      <c r="D482" s="1"/>
      <c r="E482" s="1"/>
    </row>
    <row r="483" spans="1:5">
      <c r="A483" s="4" t="str">
        <f t="shared" si="7"/>
        <v/>
      </c>
      <c r="B483" s="12"/>
      <c r="C483" s="13"/>
      <c r="D483" s="2"/>
      <c r="E483" s="2"/>
    </row>
    <row r="484" spans="1:5">
      <c r="A484" s="3" t="str">
        <f t="shared" si="7"/>
        <v/>
      </c>
      <c r="B484" s="14"/>
      <c r="C484" s="15"/>
      <c r="D484" s="1"/>
      <c r="E484" s="1"/>
    </row>
    <row r="485" spans="1:5">
      <c r="A485" s="4" t="str">
        <f t="shared" si="7"/>
        <v/>
      </c>
      <c r="B485" s="12"/>
      <c r="C485" s="13"/>
      <c r="D485" s="2"/>
      <c r="E485" s="2"/>
    </row>
    <row r="486" spans="1:5">
      <c r="A486" s="3" t="str">
        <f t="shared" si="7"/>
        <v/>
      </c>
      <c r="B486" s="14"/>
      <c r="C486" s="15"/>
      <c r="D486" s="1"/>
      <c r="E486" s="1"/>
    </row>
    <row r="487" spans="1:5">
      <c r="A487" s="4" t="str">
        <f t="shared" si="7"/>
        <v/>
      </c>
      <c r="B487" s="12"/>
      <c r="C487" s="13"/>
      <c r="D487" s="2"/>
      <c r="E487" s="2"/>
    </row>
    <row r="488" spans="1:5">
      <c r="A488" s="3" t="str">
        <f t="shared" si="7"/>
        <v/>
      </c>
      <c r="B488" s="14"/>
      <c r="C488" s="15"/>
      <c r="D488" s="1"/>
      <c r="E488" s="1"/>
    </row>
    <row r="489" spans="1:5">
      <c r="A489" s="4" t="str">
        <f t="shared" si="7"/>
        <v/>
      </c>
      <c r="B489" s="12"/>
      <c r="C489" s="13"/>
      <c r="D489" s="2"/>
      <c r="E489" s="2"/>
    </row>
    <row r="490" spans="1:5">
      <c r="A490" s="3" t="str">
        <f t="shared" si="7"/>
        <v/>
      </c>
      <c r="B490" s="14"/>
      <c r="C490" s="15"/>
      <c r="D490" s="1"/>
      <c r="E490" s="1"/>
    </row>
    <row r="491" spans="1:5">
      <c r="A491" s="4" t="str">
        <f t="shared" si="7"/>
        <v/>
      </c>
      <c r="B491" s="12"/>
      <c r="C491" s="13"/>
      <c r="D491" s="2"/>
      <c r="E491" s="2"/>
    </row>
    <row r="492" spans="1:5">
      <c r="A492" s="3" t="str">
        <f t="shared" si="7"/>
        <v/>
      </c>
      <c r="B492" s="14"/>
      <c r="C492" s="15"/>
      <c r="D492" s="1"/>
      <c r="E492" s="1"/>
    </row>
    <row r="493" spans="1:5">
      <c r="A493" s="4" t="str">
        <f t="shared" si="7"/>
        <v/>
      </c>
      <c r="B493" s="12"/>
      <c r="C493" s="13"/>
      <c r="D493" s="2"/>
      <c r="E493" s="2"/>
    </row>
    <row r="494" spans="1:5">
      <c r="A494" s="3" t="str">
        <f t="shared" si="7"/>
        <v/>
      </c>
      <c r="B494" s="14"/>
      <c r="C494" s="15"/>
      <c r="D494" s="1"/>
      <c r="E494" s="1"/>
    </row>
    <row r="495" spans="1:5">
      <c r="A495" s="4" t="str">
        <f t="shared" si="7"/>
        <v/>
      </c>
      <c r="B495" s="12"/>
      <c r="C495" s="13"/>
      <c r="D495" s="2"/>
      <c r="E495" s="2"/>
    </row>
    <row r="496" spans="1:5">
      <c r="A496" s="3" t="str">
        <f t="shared" si="7"/>
        <v/>
      </c>
      <c r="B496" s="14"/>
      <c r="C496" s="15"/>
      <c r="D496" s="1"/>
      <c r="E496" s="1"/>
    </row>
    <row r="497" spans="1:5">
      <c r="A497" s="4" t="str">
        <f t="shared" si="7"/>
        <v/>
      </c>
      <c r="B497" s="12"/>
      <c r="C497" s="13"/>
      <c r="D497" s="2"/>
      <c r="E497" s="2"/>
    </row>
    <row r="498" spans="1:5">
      <c r="A498" s="3" t="str">
        <f t="shared" si="7"/>
        <v/>
      </c>
      <c r="B498" s="14"/>
      <c r="C498" s="15"/>
      <c r="D498" s="1"/>
      <c r="E498" s="1"/>
    </row>
    <row r="499" spans="1:5">
      <c r="A499" s="4" t="str">
        <f t="shared" si="7"/>
        <v/>
      </c>
      <c r="B499" s="12"/>
      <c r="C499" s="13"/>
      <c r="D499" s="2"/>
      <c r="E499" s="2"/>
    </row>
    <row r="500" spans="1:5">
      <c r="A500" s="3" t="str">
        <f t="shared" si="7"/>
        <v/>
      </c>
      <c r="B500" s="14"/>
      <c r="C500" s="15"/>
      <c r="D500" s="1"/>
      <c r="E500" s="1"/>
    </row>
    <row r="501" spans="1:5">
      <c r="A501" s="4" t="str">
        <f t="shared" si="7"/>
        <v/>
      </c>
      <c r="B501" s="12"/>
      <c r="C501" s="13"/>
      <c r="D501" s="2"/>
      <c r="E501" s="2"/>
    </row>
    <row r="502" spans="1:5">
      <c r="A502" s="3" t="str">
        <f t="shared" si="7"/>
        <v/>
      </c>
      <c r="B502" s="14"/>
      <c r="C502" s="15"/>
      <c r="D502" s="1"/>
      <c r="E502" s="1"/>
    </row>
    <row r="503" spans="1:5">
      <c r="A503" s="4" t="str">
        <f t="shared" si="7"/>
        <v/>
      </c>
      <c r="B503" s="12"/>
      <c r="C503" s="13"/>
      <c r="D503" s="2"/>
      <c r="E503" s="2"/>
    </row>
    <row r="504" spans="1:5">
      <c r="A504" s="3" t="str">
        <f t="shared" si="7"/>
        <v/>
      </c>
      <c r="B504" s="14"/>
      <c r="C504" s="15"/>
      <c r="D504" s="1"/>
      <c r="E504" s="1"/>
    </row>
    <row r="505" spans="1:5">
      <c r="A505" s="4" t="str">
        <f t="shared" si="7"/>
        <v/>
      </c>
      <c r="B505" s="12"/>
      <c r="C505" s="13"/>
      <c r="D505" s="2"/>
      <c r="E505" s="2"/>
    </row>
    <row r="506" spans="1:5">
      <c r="A506" s="3" t="str">
        <f t="shared" si="7"/>
        <v/>
      </c>
      <c r="B506" s="14"/>
      <c r="C506" s="15"/>
      <c r="D506" s="1"/>
      <c r="E506" s="1"/>
    </row>
    <row r="507" spans="1:5">
      <c r="A507" s="4" t="str">
        <f t="shared" si="7"/>
        <v/>
      </c>
      <c r="B507" s="12"/>
      <c r="C507" s="13"/>
      <c r="D507" s="2"/>
      <c r="E507" s="2"/>
    </row>
    <row r="508" spans="1:5">
      <c r="A508" s="3" t="str">
        <f t="shared" si="7"/>
        <v/>
      </c>
      <c r="B508" s="14"/>
      <c r="C508" s="15"/>
      <c r="D508" s="1"/>
      <c r="E508" s="1"/>
    </row>
    <row r="509" spans="1:5">
      <c r="A509" s="4" t="str">
        <f t="shared" si="7"/>
        <v/>
      </c>
      <c r="B509" s="12"/>
      <c r="C509" s="13"/>
      <c r="D509" s="2"/>
      <c r="E509" s="2"/>
    </row>
    <row r="510" spans="1:5">
      <c r="A510" s="3" t="str">
        <f t="shared" si="7"/>
        <v/>
      </c>
      <c r="B510" s="14"/>
      <c r="C510" s="15"/>
      <c r="D510" s="1"/>
      <c r="E510" s="1"/>
    </row>
    <row r="511" spans="1:5">
      <c r="A511" s="4" t="str">
        <f t="shared" si="7"/>
        <v/>
      </c>
      <c r="B511" s="12"/>
      <c r="C511" s="13"/>
      <c r="D511" s="2"/>
      <c r="E511" s="2"/>
    </row>
    <row r="512" spans="1:5">
      <c r="A512" s="3" t="str">
        <f t="shared" si="7"/>
        <v/>
      </c>
      <c r="B512" s="14"/>
      <c r="C512" s="15"/>
      <c r="D512" s="1"/>
      <c r="E512" s="1"/>
    </row>
    <row r="513" spans="1:5">
      <c r="A513" s="4" t="str">
        <f t="shared" si="7"/>
        <v/>
      </c>
      <c r="B513" s="12"/>
      <c r="C513" s="13"/>
      <c r="D513" s="2"/>
      <c r="E513" s="2"/>
    </row>
    <row r="514" spans="1:5">
      <c r="A514" s="3" t="str">
        <f t="shared" si="7"/>
        <v/>
      </c>
      <c r="B514" s="14"/>
      <c r="C514" s="15"/>
      <c r="D514" s="1"/>
      <c r="E514" s="1"/>
    </row>
    <row r="515" spans="1:5">
      <c r="A515" s="4" t="str">
        <f t="shared" si="7"/>
        <v/>
      </c>
      <c r="B515" s="12"/>
      <c r="C515" s="13"/>
      <c r="D515" s="2"/>
      <c r="E515" s="2"/>
    </row>
    <row r="516" spans="1:5">
      <c r="A516" s="3" t="str">
        <f t="shared" si="7"/>
        <v/>
      </c>
      <c r="B516" s="14"/>
      <c r="C516" s="15"/>
      <c r="D516" s="1"/>
      <c r="E516" s="1"/>
    </row>
    <row r="517" spans="1:5">
      <c r="A517" s="4" t="str">
        <f t="shared" ref="A517:A580" si="8">IF(B517="","",ROW()-4)</f>
        <v/>
      </c>
      <c r="B517" s="12"/>
      <c r="C517" s="13"/>
      <c r="D517" s="2"/>
      <c r="E517" s="2"/>
    </row>
    <row r="518" spans="1:5">
      <c r="A518" s="3" t="str">
        <f t="shared" si="8"/>
        <v/>
      </c>
      <c r="B518" s="14"/>
      <c r="C518" s="15"/>
      <c r="D518" s="1"/>
      <c r="E518" s="1"/>
    </row>
    <row r="519" spans="1:5">
      <c r="A519" s="4" t="str">
        <f t="shared" si="8"/>
        <v/>
      </c>
      <c r="B519" s="12"/>
      <c r="C519" s="13"/>
      <c r="D519" s="2"/>
      <c r="E519" s="2"/>
    </row>
    <row r="520" spans="1:5">
      <c r="A520" s="3" t="str">
        <f t="shared" si="8"/>
        <v/>
      </c>
      <c r="B520" s="14"/>
      <c r="C520" s="15"/>
      <c r="D520" s="1"/>
      <c r="E520" s="1"/>
    </row>
    <row r="521" spans="1:5">
      <c r="A521" s="4" t="str">
        <f t="shared" si="8"/>
        <v/>
      </c>
      <c r="B521" s="12"/>
      <c r="C521" s="13"/>
      <c r="D521" s="2"/>
      <c r="E521" s="2"/>
    </row>
    <row r="522" spans="1:5">
      <c r="A522" s="3" t="str">
        <f t="shared" si="8"/>
        <v/>
      </c>
      <c r="B522" s="14"/>
      <c r="C522" s="15"/>
      <c r="D522" s="1"/>
      <c r="E522" s="1"/>
    </row>
    <row r="523" spans="1:5">
      <c r="A523" s="4" t="str">
        <f t="shared" si="8"/>
        <v/>
      </c>
      <c r="B523" s="12"/>
      <c r="C523" s="13"/>
      <c r="D523" s="2"/>
      <c r="E523" s="2"/>
    </row>
    <row r="524" spans="1:5">
      <c r="A524" s="3" t="str">
        <f t="shared" si="8"/>
        <v/>
      </c>
      <c r="B524" s="14"/>
      <c r="C524" s="15"/>
      <c r="D524" s="1"/>
      <c r="E524" s="1"/>
    </row>
    <row r="525" spans="1:5">
      <c r="A525" s="4" t="str">
        <f t="shared" si="8"/>
        <v/>
      </c>
      <c r="B525" s="12"/>
      <c r="C525" s="13"/>
      <c r="D525" s="2"/>
      <c r="E525" s="2"/>
    </row>
    <row r="526" spans="1:5">
      <c r="A526" s="3" t="str">
        <f t="shared" si="8"/>
        <v/>
      </c>
      <c r="B526" s="14"/>
      <c r="C526" s="15"/>
      <c r="D526" s="1"/>
      <c r="E526" s="1"/>
    </row>
    <row r="527" spans="1:5">
      <c r="A527" s="4" t="str">
        <f t="shared" si="8"/>
        <v/>
      </c>
      <c r="B527" s="12"/>
      <c r="C527" s="13"/>
      <c r="D527" s="2"/>
      <c r="E527" s="2"/>
    </row>
    <row r="528" spans="1:5">
      <c r="A528" s="3" t="str">
        <f t="shared" si="8"/>
        <v/>
      </c>
      <c r="B528" s="14"/>
      <c r="C528" s="15"/>
      <c r="D528" s="1"/>
      <c r="E528" s="1"/>
    </row>
    <row r="529" spans="1:5">
      <c r="A529" s="4" t="str">
        <f t="shared" si="8"/>
        <v/>
      </c>
      <c r="B529" s="12"/>
      <c r="C529" s="13"/>
      <c r="D529" s="2"/>
      <c r="E529" s="2"/>
    </row>
    <row r="530" spans="1:5">
      <c r="A530" s="3" t="str">
        <f t="shared" si="8"/>
        <v/>
      </c>
      <c r="B530" s="14"/>
      <c r="C530" s="15"/>
      <c r="D530" s="1"/>
      <c r="E530" s="1"/>
    </row>
    <row r="531" spans="1:5">
      <c r="A531" s="4" t="str">
        <f t="shared" si="8"/>
        <v/>
      </c>
      <c r="B531" s="12"/>
      <c r="C531" s="13"/>
      <c r="D531" s="2"/>
      <c r="E531" s="2"/>
    </row>
    <row r="532" spans="1:5">
      <c r="A532" s="3" t="str">
        <f t="shared" si="8"/>
        <v/>
      </c>
      <c r="B532" s="14"/>
      <c r="C532" s="15"/>
      <c r="D532" s="1"/>
      <c r="E532" s="1"/>
    </row>
    <row r="533" spans="1:5">
      <c r="A533" s="4" t="str">
        <f t="shared" si="8"/>
        <v/>
      </c>
      <c r="B533" s="12"/>
      <c r="C533" s="13"/>
      <c r="D533" s="2"/>
      <c r="E533" s="2"/>
    </row>
    <row r="534" spans="1:5">
      <c r="A534" s="3" t="str">
        <f t="shared" si="8"/>
        <v/>
      </c>
      <c r="B534" s="14"/>
      <c r="C534" s="15"/>
      <c r="D534" s="1"/>
      <c r="E534" s="1"/>
    </row>
    <row r="535" spans="1:5">
      <c r="A535" s="4" t="str">
        <f t="shared" si="8"/>
        <v/>
      </c>
      <c r="B535" s="12"/>
      <c r="C535" s="13"/>
      <c r="D535" s="2"/>
      <c r="E535" s="2"/>
    </row>
    <row r="536" spans="1:5">
      <c r="A536" s="3" t="str">
        <f t="shared" si="8"/>
        <v/>
      </c>
      <c r="B536" s="14"/>
      <c r="C536" s="15"/>
      <c r="D536" s="1"/>
      <c r="E536" s="1"/>
    </row>
    <row r="537" spans="1:5">
      <c r="A537" s="4" t="str">
        <f t="shared" si="8"/>
        <v/>
      </c>
      <c r="B537" s="12"/>
      <c r="C537" s="13"/>
      <c r="D537" s="2"/>
      <c r="E537" s="2"/>
    </row>
    <row r="538" spans="1:5">
      <c r="A538" s="3" t="str">
        <f t="shared" si="8"/>
        <v/>
      </c>
      <c r="B538" s="14"/>
      <c r="C538" s="15"/>
      <c r="D538" s="1"/>
      <c r="E538" s="1"/>
    </row>
    <row r="539" spans="1:5">
      <c r="A539" s="4" t="str">
        <f t="shared" si="8"/>
        <v/>
      </c>
      <c r="B539" s="12"/>
      <c r="C539" s="13"/>
      <c r="D539" s="2"/>
      <c r="E539" s="2"/>
    </row>
    <row r="540" spans="1:5">
      <c r="A540" s="3" t="str">
        <f t="shared" si="8"/>
        <v/>
      </c>
      <c r="B540" s="14"/>
      <c r="C540" s="15"/>
      <c r="D540" s="1"/>
      <c r="E540" s="1"/>
    </row>
    <row r="541" spans="1:5">
      <c r="A541" s="4" t="str">
        <f t="shared" si="8"/>
        <v/>
      </c>
      <c r="B541" s="12"/>
      <c r="C541" s="13"/>
      <c r="D541" s="2"/>
      <c r="E541" s="2"/>
    </row>
    <row r="542" spans="1:5">
      <c r="A542" s="3" t="str">
        <f t="shared" si="8"/>
        <v/>
      </c>
      <c r="B542" s="14"/>
      <c r="C542" s="15"/>
      <c r="D542" s="1"/>
      <c r="E542" s="1"/>
    </row>
    <row r="543" spans="1:5">
      <c r="A543" s="4" t="str">
        <f t="shared" si="8"/>
        <v/>
      </c>
      <c r="B543" s="12"/>
      <c r="C543" s="13"/>
      <c r="D543" s="2"/>
      <c r="E543" s="2"/>
    </row>
    <row r="544" spans="1:5">
      <c r="A544" s="3" t="str">
        <f t="shared" si="8"/>
        <v/>
      </c>
      <c r="B544" s="14"/>
      <c r="C544" s="15"/>
      <c r="D544" s="1"/>
      <c r="E544" s="1"/>
    </row>
    <row r="545" spans="1:5">
      <c r="A545" s="4" t="str">
        <f t="shared" si="8"/>
        <v/>
      </c>
      <c r="B545" s="12"/>
      <c r="C545" s="13"/>
      <c r="D545" s="2"/>
      <c r="E545" s="2"/>
    </row>
    <row r="546" spans="1:5">
      <c r="A546" s="3" t="str">
        <f t="shared" si="8"/>
        <v/>
      </c>
      <c r="B546" s="14"/>
      <c r="C546" s="15"/>
      <c r="D546" s="1"/>
      <c r="E546" s="1"/>
    </row>
    <row r="547" spans="1:5">
      <c r="A547" s="4" t="str">
        <f t="shared" si="8"/>
        <v/>
      </c>
      <c r="B547" s="12"/>
      <c r="C547" s="13"/>
      <c r="D547" s="2"/>
      <c r="E547" s="2"/>
    </row>
    <row r="548" spans="1:5">
      <c r="A548" s="3" t="str">
        <f t="shared" si="8"/>
        <v/>
      </c>
      <c r="B548" s="14"/>
      <c r="C548" s="15"/>
      <c r="D548" s="1"/>
      <c r="E548" s="1"/>
    </row>
    <row r="549" spans="1:5">
      <c r="A549" s="4" t="str">
        <f t="shared" si="8"/>
        <v/>
      </c>
      <c r="B549" s="12"/>
      <c r="C549" s="13"/>
      <c r="D549" s="2"/>
      <c r="E549" s="2"/>
    </row>
    <row r="550" spans="1:5">
      <c r="A550" s="3" t="str">
        <f t="shared" si="8"/>
        <v/>
      </c>
      <c r="B550" s="14"/>
      <c r="C550" s="15"/>
      <c r="D550" s="1"/>
      <c r="E550" s="1"/>
    </row>
    <row r="551" spans="1:5">
      <c r="A551" s="4" t="str">
        <f t="shared" si="8"/>
        <v/>
      </c>
      <c r="B551" s="12"/>
      <c r="C551" s="13"/>
      <c r="D551" s="2"/>
      <c r="E551" s="2"/>
    </row>
    <row r="552" spans="1:5">
      <c r="A552" s="3" t="str">
        <f t="shared" si="8"/>
        <v/>
      </c>
      <c r="B552" s="14"/>
      <c r="C552" s="15"/>
      <c r="D552" s="1"/>
      <c r="E552" s="1"/>
    </row>
    <row r="553" spans="1:5">
      <c r="A553" s="4" t="str">
        <f t="shared" si="8"/>
        <v/>
      </c>
      <c r="B553" s="12"/>
      <c r="C553" s="13"/>
      <c r="D553" s="2"/>
      <c r="E553" s="2"/>
    </row>
    <row r="554" spans="1:5">
      <c r="A554" s="3" t="str">
        <f t="shared" si="8"/>
        <v/>
      </c>
      <c r="B554" s="14"/>
      <c r="C554" s="15"/>
      <c r="D554" s="1"/>
      <c r="E554" s="1"/>
    </row>
    <row r="555" spans="1:5">
      <c r="A555" s="4" t="str">
        <f t="shared" si="8"/>
        <v/>
      </c>
      <c r="B555" s="12"/>
      <c r="C555" s="13"/>
      <c r="D555" s="2"/>
      <c r="E555" s="2"/>
    </row>
    <row r="556" spans="1:5">
      <c r="A556" s="3" t="str">
        <f t="shared" si="8"/>
        <v/>
      </c>
      <c r="B556" s="14"/>
      <c r="C556" s="15"/>
      <c r="D556" s="1"/>
      <c r="E556" s="1"/>
    </row>
    <row r="557" spans="1:5">
      <c r="A557" s="4" t="str">
        <f t="shared" si="8"/>
        <v/>
      </c>
      <c r="B557" s="12"/>
      <c r="C557" s="13"/>
      <c r="D557" s="2"/>
      <c r="E557" s="2"/>
    </row>
    <row r="558" spans="1:5">
      <c r="A558" s="3" t="str">
        <f t="shared" si="8"/>
        <v/>
      </c>
      <c r="B558" s="14"/>
      <c r="C558" s="15"/>
      <c r="D558" s="1"/>
      <c r="E558" s="1"/>
    </row>
    <row r="559" spans="1:5">
      <c r="A559" s="4" t="str">
        <f t="shared" si="8"/>
        <v/>
      </c>
      <c r="B559" s="12"/>
      <c r="C559" s="13"/>
      <c r="D559" s="2"/>
      <c r="E559" s="2"/>
    </row>
    <row r="560" spans="1:5">
      <c r="A560" s="3" t="str">
        <f t="shared" si="8"/>
        <v/>
      </c>
      <c r="B560" s="14"/>
      <c r="C560" s="15"/>
      <c r="D560" s="1"/>
      <c r="E560" s="1"/>
    </row>
    <row r="561" spans="1:5">
      <c r="A561" s="4" t="str">
        <f t="shared" si="8"/>
        <v/>
      </c>
      <c r="B561" s="12"/>
      <c r="C561" s="13"/>
      <c r="D561" s="2"/>
      <c r="E561" s="2"/>
    </row>
    <row r="562" spans="1:5">
      <c r="A562" s="3" t="str">
        <f t="shared" si="8"/>
        <v/>
      </c>
      <c r="B562" s="14"/>
      <c r="C562" s="15"/>
      <c r="D562" s="1"/>
      <c r="E562" s="1"/>
    </row>
    <row r="563" spans="1:5">
      <c r="A563" s="4" t="str">
        <f t="shared" si="8"/>
        <v/>
      </c>
      <c r="B563" s="12"/>
      <c r="C563" s="13"/>
      <c r="D563" s="2"/>
      <c r="E563" s="2"/>
    </row>
    <row r="564" spans="1:5">
      <c r="A564" s="3" t="str">
        <f t="shared" si="8"/>
        <v/>
      </c>
      <c r="B564" s="14"/>
      <c r="C564" s="15"/>
      <c r="D564" s="1"/>
      <c r="E564" s="1"/>
    </row>
    <row r="565" spans="1:5">
      <c r="A565" s="4" t="str">
        <f t="shared" si="8"/>
        <v/>
      </c>
      <c r="B565" s="12"/>
      <c r="C565" s="13"/>
      <c r="D565" s="2"/>
      <c r="E565" s="2"/>
    </row>
    <row r="566" spans="1:5">
      <c r="A566" s="3" t="str">
        <f t="shared" si="8"/>
        <v/>
      </c>
      <c r="B566" s="14"/>
      <c r="C566" s="15"/>
      <c r="D566" s="1"/>
      <c r="E566" s="1"/>
    </row>
    <row r="567" spans="1:5">
      <c r="A567" s="4" t="str">
        <f t="shared" si="8"/>
        <v/>
      </c>
      <c r="B567" s="12"/>
      <c r="C567" s="13"/>
      <c r="D567" s="2"/>
      <c r="E567" s="2"/>
    </row>
    <row r="568" spans="1:5">
      <c r="A568" s="3" t="str">
        <f t="shared" si="8"/>
        <v/>
      </c>
      <c r="B568" s="14"/>
      <c r="C568" s="15"/>
      <c r="D568" s="1"/>
      <c r="E568" s="1"/>
    </row>
    <row r="569" spans="1:5">
      <c r="A569" s="4" t="str">
        <f t="shared" si="8"/>
        <v/>
      </c>
      <c r="B569" s="12"/>
      <c r="C569" s="13"/>
      <c r="D569" s="2"/>
      <c r="E569" s="2"/>
    </row>
    <row r="570" spans="1:5">
      <c r="A570" s="3" t="str">
        <f t="shared" si="8"/>
        <v/>
      </c>
      <c r="B570" s="14"/>
      <c r="C570" s="15"/>
      <c r="D570" s="1"/>
      <c r="E570" s="1"/>
    </row>
    <row r="571" spans="1:5">
      <c r="A571" s="4" t="str">
        <f t="shared" si="8"/>
        <v/>
      </c>
      <c r="B571" s="12"/>
      <c r="C571" s="13"/>
      <c r="D571" s="2"/>
      <c r="E571" s="2"/>
    </row>
    <row r="572" spans="1:5">
      <c r="A572" s="3" t="str">
        <f t="shared" si="8"/>
        <v/>
      </c>
      <c r="B572" s="14"/>
      <c r="C572" s="15"/>
      <c r="D572" s="1"/>
      <c r="E572" s="1"/>
    </row>
    <row r="573" spans="1:5">
      <c r="A573" s="4" t="str">
        <f t="shared" si="8"/>
        <v/>
      </c>
      <c r="B573" s="12"/>
      <c r="C573" s="13"/>
      <c r="D573" s="2"/>
      <c r="E573" s="2"/>
    </row>
    <row r="574" spans="1:5">
      <c r="A574" s="3" t="str">
        <f t="shared" si="8"/>
        <v/>
      </c>
      <c r="B574" s="14"/>
      <c r="C574" s="15"/>
      <c r="D574" s="1"/>
      <c r="E574" s="1"/>
    </row>
    <row r="575" spans="1:5">
      <c r="A575" s="4" t="str">
        <f t="shared" si="8"/>
        <v/>
      </c>
      <c r="B575" s="12"/>
      <c r="C575" s="13"/>
      <c r="D575" s="2"/>
      <c r="E575" s="2"/>
    </row>
    <row r="576" spans="1:5">
      <c r="A576" s="3" t="str">
        <f t="shared" si="8"/>
        <v/>
      </c>
      <c r="B576" s="14"/>
      <c r="C576" s="15"/>
      <c r="D576" s="1"/>
      <c r="E576" s="1"/>
    </row>
    <row r="577" spans="1:5">
      <c r="A577" s="4" t="str">
        <f t="shared" si="8"/>
        <v/>
      </c>
      <c r="B577" s="12"/>
      <c r="C577" s="13"/>
      <c r="D577" s="2"/>
      <c r="E577" s="2"/>
    </row>
    <row r="578" spans="1:5">
      <c r="A578" s="3" t="str">
        <f t="shared" si="8"/>
        <v/>
      </c>
      <c r="B578" s="14"/>
      <c r="C578" s="15"/>
      <c r="D578" s="1"/>
      <c r="E578" s="1"/>
    </row>
    <row r="579" spans="1:5">
      <c r="A579" s="4" t="str">
        <f t="shared" si="8"/>
        <v/>
      </c>
      <c r="B579" s="12"/>
      <c r="C579" s="13"/>
      <c r="D579" s="2"/>
      <c r="E579" s="2"/>
    </row>
    <row r="580" spans="1:5">
      <c r="A580" s="3" t="str">
        <f t="shared" si="8"/>
        <v/>
      </c>
      <c r="B580" s="14"/>
      <c r="C580" s="15"/>
      <c r="D580" s="1"/>
      <c r="E580" s="1"/>
    </row>
    <row r="581" spans="1:5">
      <c r="A581" s="4" t="str">
        <f t="shared" ref="A581:A644" si="9">IF(B581="","",ROW()-4)</f>
        <v/>
      </c>
      <c r="B581" s="12"/>
      <c r="C581" s="13"/>
      <c r="D581" s="2"/>
      <c r="E581" s="2"/>
    </row>
    <row r="582" spans="1:5">
      <c r="A582" s="3" t="str">
        <f t="shared" si="9"/>
        <v/>
      </c>
      <c r="B582" s="14"/>
      <c r="C582" s="15"/>
      <c r="D582" s="1"/>
      <c r="E582" s="1"/>
    </row>
    <row r="583" spans="1:5">
      <c r="A583" s="4" t="str">
        <f t="shared" si="9"/>
        <v/>
      </c>
      <c r="B583" s="12"/>
      <c r="C583" s="13"/>
      <c r="D583" s="2"/>
      <c r="E583" s="2"/>
    </row>
    <row r="584" spans="1:5">
      <c r="A584" s="3" t="str">
        <f t="shared" si="9"/>
        <v/>
      </c>
      <c r="B584" s="14"/>
      <c r="C584" s="15"/>
      <c r="D584" s="1"/>
      <c r="E584" s="1"/>
    </row>
    <row r="585" spans="1:5">
      <c r="A585" s="4" t="str">
        <f t="shared" si="9"/>
        <v/>
      </c>
      <c r="B585" s="12"/>
      <c r="C585" s="13"/>
      <c r="D585" s="2"/>
      <c r="E585" s="2"/>
    </row>
    <row r="586" spans="1:5">
      <c r="A586" s="3" t="str">
        <f t="shared" si="9"/>
        <v/>
      </c>
      <c r="B586" s="14"/>
      <c r="C586" s="15"/>
      <c r="D586" s="1"/>
      <c r="E586" s="1"/>
    </row>
    <row r="587" spans="1:5">
      <c r="A587" s="4" t="str">
        <f t="shared" si="9"/>
        <v/>
      </c>
      <c r="B587" s="12"/>
      <c r="C587" s="13"/>
      <c r="D587" s="2"/>
      <c r="E587" s="2"/>
    </row>
    <row r="588" spans="1:5">
      <c r="A588" s="3" t="str">
        <f t="shared" si="9"/>
        <v/>
      </c>
      <c r="B588" s="14"/>
      <c r="C588" s="15"/>
      <c r="D588" s="1"/>
      <c r="E588" s="1"/>
    </row>
    <row r="589" spans="1:5">
      <c r="A589" s="4" t="str">
        <f t="shared" si="9"/>
        <v/>
      </c>
      <c r="B589" s="12"/>
      <c r="C589" s="13"/>
      <c r="D589" s="2"/>
      <c r="E589" s="2"/>
    </row>
    <row r="590" spans="1:5">
      <c r="A590" s="3" t="str">
        <f t="shared" si="9"/>
        <v/>
      </c>
      <c r="B590" s="14"/>
      <c r="C590" s="15"/>
      <c r="D590" s="1"/>
      <c r="E590" s="1"/>
    </row>
    <row r="591" spans="1:5">
      <c r="A591" s="4" t="str">
        <f t="shared" si="9"/>
        <v/>
      </c>
      <c r="B591" s="12"/>
      <c r="C591" s="13"/>
      <c r="D591" s="2"/>
      <c r="E591" s="2"/>
    </row>
    <row r="592" spans="1:5">
      <c r="A592" s="3" t="str">
        <f t="shared" si="9"/>
        <v/>
      </c>
      <c r="B592" s="14"/>
      <c r="C592" s="15"/>
      <c r="D592" s="1"/>
      <c r="E592" s="1"/>
    </row>
    <row r="593" spans="1:5">
      <c r="A593" s="4" t="str">
        <f t="shared" si="9"/>
        <v/>
      </c>
      <c r="B593" s="12"/>
      <c r="C593" s="13"/>
      <c r="D593" s="2"/>
      <c r="E593" s="2"/>
    </row>
    <row r="594" spans="1:5">
      <c r="A594" s="3" t="str">
        <f t="shared" si="9"/>
        <v/>
      </c>
      <c r="B594" s="14"/>
      <c r="C594" s="15"/>
      <c r="D594" s="1"/>
      <c r="E594" s="1"/>
    </row>
    <row r="595" spans="1:5">
      <c r="A595" s="4" t="str">
        <f t="shared" si="9"/>
        <v/>
      </c>
      <c r="B595" s="12"/>
      <c r="C595" s="13"/>
      <c r="D595" s="2"/>
      <c r="E595" s="2"/>
    </row>
    <row r="596" spans="1:5">
      <c r="A596" s="3" t="str">
        <f t="shared" si="9"/>
        <v/>
      </c>
      <c r="B596" s="14"/>
      <c r="C596" s="15"/>
      <c r="D596" s="1"/>
      <c r="E596" s="1"/>
    </row>
    <row r="597" spans="1:5">
      <c r="A597" s="4" t="str">
        <f t="shared" si="9"/>
        <v/>
      </c>
      <c r="B597" s="12"/>
      <c r="C597" s="13"/>
      <c r="D597" s="2"/>
      <c r="E597" s="2"/>
    </row>
    <row r="598" spans="1:5">
      <c r="A598" s="3" t="str">
        <f t="shared" si="9"/>
        <v/>
      </c>
      <c r="B598" s="14"/>
      <c r="C598" s="15"/>
      <c r="D598" s="1"/>
      <c r="E598" s="1"/>
    </row>
    <row r="599" spans="1:5">
      <c r="A599" s="4" t="str">
        <f t="shared" si="9"/>
        <v/>
      </c>
      <c r="B599" s="12"/>
      <c r="C599" s="13"/>
      <c r="D599" s="2"/>
      <c r="E599" s="2"/>
    </row>
    <row r="600" spans="1:5">
      <c r="A600" s="3" t="str">
        <f t="shared" si="9"/>
        <v/>
      </c>
      <c r="B600" s="14"/>
      <c r="C600" s="15"/>
      <c r="D600" s="1"/>
      <c r="E600" s="1"/>
    </row>
    <row r="601" spans="1:5">
      <c r="A601" s="4" t="str">
        <f t="shared" si="9"/>
        <v/>
      </c>
      <c r="B601" s="12"/>
      <c r="C601" s="13"/>
      <c r="D601" s="2"/>
      <c r="E601" s="2"/>
    </row>
    <row r="602" spans="1:5">
      <c r="A602" s="3" t="str">
        <f t="shared" si="9"/>
        <v/>
      </c>
      <c r="B602" s="14"/>
      <c r="C602" s="15"/>
      <c r="D602" s="1"/>
      <c r="E602" s="1"/>
    </row>
    <row r="603" spans="1:5">
      <c r="A603" s="4" t="str">
        <f t="shared" si="9"/>
        <v/>
      </c>
      <c r="B603" s="12"/>
      <c r="C603" s="13"/>
      <c r="D603" s="2"/>
      <c r="E603" s="2"/>
    </row>
    <row r="604" spans="1:5">
      <c r="A604" s="3" t="str">
        <f t="shared" si="9"/>
        <v/>
      </c>
      <c r="B604" s="14"/>
      <c r="C604" s="15"/>
      <c r="D604" s="1"/>
      <c r="E604" s="1"/>
    </row>
    <row r="605" spans="1:5">
      <c r="A605" s="4" t="str">
        <f t="shared" si="9"/>
        <v/>
      </c>
      <c r="B605" s="12"/>
      <c r="C605" s="13"/>
      <c r="D605" s="2"/>
      <c r="E605" s="2"/>
    </row>
    <row r="606" spans="1:5">
      <c r="A606" s="3" t="str">
        <f t="shared" si="9"/>
        <v/>
      </c>
      <c r="B606" s="14"/>
      <c r="C606" s="15"/>
      <c r="D606" s="1"/>
      <c r="E606" s="1"/>
    </row>
    <row r="607" spans="1:5">
      <c r="A607" s="4" t="str">
        <f t="shared" si="9"/>
        <v/>
      </c>
      <c r="B607" s="12"/>
      <c r="C607" s="13"/>
      <c r="D607" s="2"/>
      <c r="E607" s="2"/>
    </row>
    <row r="608" spans="1:5">
      <c r="A608" s="3" t="str">
        <f t="shared" si="9"/>
        <v/>
      </c>
      <c r="B608" s="14"/>
      <c r="C608" s="15"/>
      <c r="D608" s="1"/>
      <c r="E608" s="1"/>
    </row>
    <row r="609" spans="1:5">
      <c r="A609" s="4" t="str">
        <f t="shared" si="9"/>
        <v/>
      </c>
      <c r="B609" s="12"/>
      <c r="C609" s="13"/>
      <c r="D609" s="2"/>
      <c r="E609" s="2"/>
    </row>
    <row r="610" spans="1:5">
      <c r="A610" s="3" t="str">
        <f t="shared" si="9"/>
        <v/>
      </c>
      <c r="B610" s="14"/>
      <c r="C610" s="15"/>
      <c r="D610" s="1"/>
      <c r="E610" s="1"/>
    </row>
    <row r="611" spans="1:5">
      <c r="A611" s="4" t="str">
        <f t="shared" si="9"/>
        <v/>
      </c>
      <c r="B611" s="12"/>
      <c r="C611" s="13"/>
      <c r="D611" s="2"/>
      <c r="E611" s="2"/>
    </row>
    <row r="612" spans="1:5">
      <c r="A612" s="3" t="str">
        <f t="shared" si="9"/>
        <v/>
      </c>
      <c r="B612" s="14"/>
      <c r="C612" s="15"/>
      <c r="D612" s="1"/>
      <c r="E612" s="1"/>
    </row>
    <row r="613" spans="1:5">
      <c r="A613" s="4" t="str">
        <f t="shared" si="9"/>
        <v/>
      </c>
      <c r="B613" s="12"/>
      <c r="C613" s="13"/>
      <c r="D613" s="2"/>
      <c r="E613" s="2"/>
    </row>
    <row r="614" spans="1:5">
      <c r="A614" s="3" t="str">
        <f t="shared" si="9"/>
        <v/>
      </c>
      <c r="B614" s="14"/>
      <c r="C614" s="15"/>
      <c r="D614" s="1"/>
      <c r="E614" s="1"/>
    </row>
    <row r="615" spans="1:5">
      <c r="A615" s="4" t="str">
        <f t="shared" si="9"/>
        <v/>
      </c>
      <c r="B615" s="12"/>
      <c r="C615" s="13"/>
      <c r="D615" s="2"/>
      <c r="E615" s="2"/>
    </row>
    <row r="616" spans="1:5">
      <c r="A616" s="3" t="str">
        <f t="shared" si="9"/>
        <v/>
      </c>
      <c r="B616" s="14"/>
      <c r="C616" s="15"/>
      <c r="D616" s="1"/>
      <c r="E616" s="1"/>
    </row>
    <row r="617" spans="1:5">
      <c r="A617" s="4" t="str">
        <f t="shared" si="9"/>
        <v/>
      </c>
      <c r="B617" s="12"/>
      <c r="C617" s="13"/>
      <c r="D617" s="2"/>
      <c r="E617" s="2"/>
    </row>
    <row r="618" spans="1:5">
      <c r="A618" s="3" t="str">
        <f t="shared" si="9"/>
        <v/>
      </c>
      <c r="B618" s="14"/>
      <c r="C618" s="15"/>
      <c r="D618" s="1"/>
      <c r="E618" s="1"/>
    </row>
    <row r="619" spans="1:5">
      <c r="A619" s="4" t="str">
        <f t="shared" si="9"/>
        <v/>
      </c>
      <c r="B619" s="12"/>
      <c r="C619" s="13"/>
      <c r="D619" s="2"/>
      <c r="E619" s="2"/>
    </row>
    <row r="620" spans="1:5">
      <c r="A620" s="3" t="str">
        <f t="shared" si="9"/>
        <v/>
      </c>
      <c r="B620" s="14"/>
      <c r="C620" s="15"/>
      <c r="D620" s="1"/>
      <c r="E620" s="1"/>
    </row>
    <row r="621" spans="1:5">
      <c r="A621" s="4" t="str">
        <f t="shared" si="9"/>
        <v/>
      </c>
      <c r="B621" s="12"/>
      <c r="C621" s="13"/>
      <c r="D621" s="2"/>
      <c r="E621" s="2"/>
    </row>
    <row r="622" spans="1:5">
      <c r="A622" s="3" t="str">
        <f t="shared" si="9"/>
        <v/>
      </c>
      <c r="B622" s="14"/>
      <c r="C622" s="15"/>
      <c r="D622" s="1"/>
      <c r="E622" s="1"/>
    </row>
    <row r="623" spans="1:5">
      <c r="A623" s="4" t="str">
        <f t="shared" si="9"/>
        <v/>
      </c>
      <c r="B623" s="12"/>
      <c r="C623" s="13"/>
      <c r="D623" s="2"/>
      <c r="E623" s="2"/>
    </row>
    <row r="624" spans="1:5">
      <c r="A624" s="3" t="str">
        <f t="shared" si="9"/>
        <v/>
      </c>
      <c r="B624" s="14"/>
      <c r="C624" s="15"/>
      <c r="D624" s="1"/>
      <c r="E624" s="1"/>
    </row>
    <row r="625" spans="1:5">
      <c r="A625" s="4" t="str">
        <f t="shared" si="9"/>
        <v/>
      </c>
      <c r="B625" s="12"/>
      <c r="C625" s="13"/>
      <c r="D625" s="2"/>
      <c r="E625" s="2"/>
    </row>
    <row r="626" spans="1:5">
      <c r="A626" s="3" t="str">
        <f t="shared" si="9"/>
        <v/>
      </c>
      <c r="B626" s="14"/>
      <c r="C626" s="15"/>
      <c r="D626" s="1"/>
      <c r="E626" s="1"/>
    </row>
    <row r="627" spans="1:5">
      <c r="A627" s="4" t="str">
        <f t="shared" si="9"/>
        <v/>
      </c>
      <c r="B627" s="12"/>
      <c r="C627" s="13"/>
      <c r="D627" s="2"/>
      <c r="E627" s="2"/>
    </row>
    <row r="628" spans="1:5">
      <c r="A628" s="3" t="str">
        <f t="shared" si="9"/>
        <v/>
      </c>
      <c r="B628" s="14"/>
      <c r="C628" s="15"/>
      <c r="D628" s="1"/>
      <c r="E628" s="1"/>
    </row>
    <row r="629" spans="1:5">
      <c r="A629" s="4" t="str">
        <f t="shared" si="9"/>
        <v/>
      </c>
      <c r="B629" s="12"/>
      <c r="C629" s="13"/>
      <c r="D629" s="2"/>
      <c r="E629" s="2"/>
    </row>
    <row r="630" spans="1:5">
      <c r="A630" s="3" t="str">
        <f t="shared" si="9"/>
        <v/>
      </c>
      <c r="B630" s="14"/>
      <c r="C630" s="15"/>
      <c r="D630" s="1"/>
      <c r="E630" s="1"/>
    </row>
    <row r="631" spans="1:5">
      <c r="A631" s="4" t="str">
        <f t="shared" si="9"/>
        <v/>
      </c>
      <c r="B631" s="12"/>
      <c r="C631" s="13"/>
      <c r="D631" s="2"/>
      <c r="E631" s="2"/>
    </row>
    <row r="632" spans="1:5">
      <c r="A632" s="3" t="str">
        <f t="shared" si="9"/>
        <v/>
      </c>
      <c r="B632" s="14"/>
      <c r="C632" s="15"/>
      <c r="D632" s="1"/>
      <c r="E632" s="1"/>
    </row>
    <row r="633" spans="1:5">
      <c r="A633" s="4" t="str">
        <f t="shared" si="9"/>
        <v/>
      </c>
      <c r="B633" s="12"/>
      <c r="C633" s="13"/>
      <c r="D633" s="2"/>
      <c r="E633" s="2"/>
    </row>
    <row r="634" spans="1:5">
      <c r="A634" s="3" t="str">
        <f t="shared" si="9"/>
        <v/>
      </c>
      <c r="B634" s="14"/>
      <c r="C634" s="15"/>
      <c r="D634" s="1"/>
      <c r="E634" s="1"/>
    </row>
    <row r="635" spans="1:5">
      <c r="A635" s="4" t="str">
        <f t="shared" si="9"/>
        <v/>
      </c>
      <c r="B635" s="12"/>
      <c r="C635" s="13"/>
      <c r="D635" s="2"/>
      <c r="E635" s="2"/>
    </row>
    <row r="636" spans="1:5">
      <c r="A636" s="3" t="str">
        <f t="shared" si="9"/>
        <v/>
      </c>
      <c r="B636" s="14"/>
      <c r="C636" s="15"/>
      <c r="D636" s="1"/>
      <c r="E636" s="1"/>
    </row>
    <row r="637" spans="1:5">
      <c r="A637" s="4" t="str">
        <f t="shared" si="9"/>
        <v/>
      </c>
      <c r="B637" s="12"/>
      <c r="C637" s="13"/>
      <c r="D637" s="2"/>
      <c r="E637" s="2"/>
    </row>
    <row r="638" spans="1:5">
      <c r="A638" s="3" t="str">
        <f t="shared" si="9"/>
        <v/>
      </c>
      <c r="B638" s="14"/>
      <c r="C638" s="15"/>
      <c r="D638" s="1"/>
      <c r="E638" s="1"/>
    </row>
    <row r="639" spans="1:5">
      <c r="A639" s="4" t="str">
        <f t="shared" si="9"/>
        <v/>
      </c>
      <c r="B639" s="12"/>
      <c r="C639" s="13"/>
      <c r="D639" s="2"/>
      <c r="E639" s="2"/>
    </row>
    <row r="640" spans="1:5">
      <c r="A640" s="3" t="str">
        <f t="shared" si="9"/>
        <v/>
      </c>
      <c r="B640" s="14"/>
      <c r="C640" s="15"/>
      <c r="D640" s="1"/>
      <c r="E640" s="1"/>
    </row>
    <row r="641" spans="1:5">
      <c r="A641" s="4" t="str">
        <f t="shared" si="9"/>
        <v/>
      </c>
      <c r="B641" s="12"/>
      <c r="C641" s="13"/>
      <c r="D641" s="2"/>
      <c r="E641" s="2"/>
    </row>
    <row r="642" spans="1:5">
      <c r="A642" s="3" t="str">
        <f t="shared" si="9"/>
        <v/>
      </c>
      <c r="B642" s="14"/>
      <c r="C642" s="15"/>
      <c r="D642" s="1"/>
      <c r="E642" s="1"/>
    </row>
    <row r="643" spans="1:5">
      <c r="A643" s="4" t="str">
        <f t="shared" si="9"/>
        <v/>
      </c>
      <c r="B643" s="12"/>
      <c r="C643" s="13"/>
      <c r="D643" s="2"/>
      <c r="E643" s="2"/>
    </row>
    <row r="644" spans="1:5">
      <c r="A644" s="3" t="str">
        <f t="shared" si="9"/>
        <v/>
      </c>
      <c r="B644" s="14"/>
      <c r="C644" s="15"/>
      <c r="D644" s="1"/>
      <c r="E644" s="1"/>
    </row>
    <row r="645" spans="1:5">
      <c r="A645" s="4" t="str">
        <f t="shared" ref="A645:A708" si="10">IF(B645="","",ROW()-4)</f>
        <v/>
      </c>
      <c r="B645" s="12"/>
      <c r="C645" s="13"/>
      <c r="D645" s="2"/>
      <c r="E645" s="2"/>
    </row>
    <row r="646" spans="1:5">
      <c r="A646" s="3" t="str">
        <f t="shared" si="10"/>
        <v/>
      </c>
      <c r="B646" s="14"/>
      <c r="C646" s="15"/>
      <c r="D646" s="1"/>
      <c r="E646" s="1"/>
    </row>
    <row r="647" spans="1:5">
      <c r="A647" s="4" t="str">
        <f t="shared" si="10"/>
        <v/>
      </c>
      <c r="B647" s="12"/>
      <c r="C647" s="13"/>
      <c r="D647" s="2"/>
      <c r="E647" s="2"/>
    </row>
    <row r="648" spans="1:5">
      <c r="A648" s="3" t="str">
        <f t="shared" si="10"/>
        <v/>
      </c>
      <c r="B648" s="14"/>
      <c r="C648" s="15"/>
      <c r="D648" s="1"/>
      <c r="E648" s="1"/>
    </row>
    <row r="649" spans="1:5">
      <c r="A649" s="4" t="str">
        <f t="shared" si="10"/>
        <v/>
      </c>
      <c r="B649" s="12"/>
      <c r="C649" s="13"/>
      <c r="D649" s="2"/>
      <c r="E649" s="2"/>
    </row>
    <row r="650" spans="1:5">
      <c r="A650" s="3" t="str">
        <f t="shared" si="10"/>
        <v/>
      </c>
      <c r="B650" s="14"/>
      <c r="C650" s="15"/>
      <c r="D650" s="1"/>
      <c r="E650" s="1"/>
    </row>
    <row r="651" spans="1:5">
      <c r="A651" s="4" t="str">
        <f t="shared" si="10"/>
        <v/>
      </c>
      <c r="B651" s="12"/>
      <c r="C651" s="13"/>
      <c r="D651" s="2"/>
      <c r="E651" s="2"/>
    </row>
    <row r="652" spans="1:5">
      <c r="A652" s="3" t="str">
        <f t="shared" si="10"/>
        <v/>
      </c>
      <c r="B652" s="14"/>
      <c r="C652" s="15"/>
      <c r="D652" s="1"/>
      <c r="E652" s="1"/>
    </row>
    <row r="653" spans="1:5">
      <c r="A653" s="4" t="str">
        <f t="shared" si="10"/>
        <v/>
      </c>
      <c r="B653" s="12"/>
      <c r="C653" s="13"/>
      <c r="D653" s="2"/>
      <c r="E653" s="2"/>
    </row>
    <row r="654" spans="1:5">
      <c r="A654" s="3" t="str">
        <f t="shared" si="10"/>
        <v/>
      </c>
      <c r="B654" s="14"/>
      <c r="C654" s="15"/>
      <c r="D654" s="1"/>
      <c r="E654" s="1"/>
    </row>
    <row r="655" spans="1:5">
      <c r="A655" s="4" t="str">
        <f t="shared" si="10"/>
        <v/>
      </c>
      <c r="B655" s="12"/>
      <c r="C655" s="13"/>
      <c r="D655" s="2"/>
      <c r="E655" s="2"/>
    </row>
    <row r="656" spans="1:5">
      <c r="A656" s="3" t="str">
        <f t="shared" si="10"/>
        <v/>
      </c>
      <c r="B656" s="14"/>
      <c r="C656" s="15"/>
      <c r="D656" s="1"/>
      <c r="E656" s="1"/>
    </row>
    <row r="657" spans="1:5">
      <c r="A657" s="4" t="str">
        <f t="shared" si="10"/>
        <v/>
      </c>
      <c r="B657" s="12"/>
      <c r="C657" s="13"/>
      <c r="D657" s="2"/>
      <c r="E657" s="2"/>
    </row>
    <row r="658" spans="1:5">
      <c r="A658" s="3" t="str">
        <f t="shared" si="10"/>
        <v/>
      </c>
      <c r="B658" s="14"/>
      <c r="C658" s="15"/>
      <c r="D658" s="1"/>
      <c r="E658" s="1"/>
    </row>
    <row r="659" spans="1:5">
      <c r="A659" s="4" t="str">
        <f t="shared" si="10"/>
        <v/>
      </c>
      <c r="B659" s="12"/>
      <c r="C659" s="13"/>
      <c r="D659" s="2"/>
      <c r="E659" s="2"/>
    </row>
    <row r="660" spans="1:5">
      <c r="A660" s="3" t="str">
        <f t="shared" si="10"/>
        <v/>
      </c>
      <c r="B660" s="14"/>
      <c r="C660" s="15"/>
      <c r="D660" s="1"/>
      <c r="E660" s="1"/>
    </row>
    <row r="661" spans="1:5">
      <c r="A661" s="4" t="str">
        <f t="shared" si="10"/>
        <v/>
      </c>
      <c r="B661" s="12"/>
      <c r="C661" s="13"/>
      <c r="D661" s="2"/>
      <c r="E661" s="2"/>
    </row>
    <row r="662" spans="1:5">
      <c r="A662" s="3" t="str">
        <f t="shared" si="10"/>
        <v/>
      </c>
      <c r="B662" s="14"/>
      <c r="C662" s="15"/>
      <c r="D662" s="1"/>
      <c r="E662" s="1"/>
    </row>
    <row r="663" spans="1:5">
      <c r="A663" s="4" t="str">
        <f t="shared" si="10"/>
        <v/>
      </c>
      <c r="B663" s="12"/>
      <c r="C663" s="13"/>
      <c r="D663" s="2"/>
      <c r="E663" s="2"/>
    </row>
    <row r="664" spans="1:5">
      <c r="A664" s="3" t="str">
        <f t="shared" si="10"/>
        <v/>
      </c>
      <c r="B664" s="14"/>
      <c r="C664" s="15"/>
      <c r="D664" s="1"/>
      <c r="E664" s="1"/>
    </row>
    <row r="665" spans="1:5">
      <c r="A665" s="4" t="str">
        <f t="shared" si="10"/>
        <v/>
      </c>
      <c r="B665" s="12"/>
      <c r="C665" s="13"/>
      <c r="D665" s="2"/>
      <c r="E665" s="2"/>
    </row>
    <row r="666" spans="1:5">
      <c r="A666" s="3" t="str">
        <f t="shared" si="10"/>
        <v/>
      </c>
      <c r="B666" s="14"/>
      <c r="C666" s="15"/>
      <c r="D666" s="1"/>
      <c r="E666" s="1"/>
    </row>
    <row r="667" spans="1:5">
      <c r="A667" s="4" t="str">
        <f t="shared" si="10"/>
        <v/>
      </c>
      <c r="B667" s="12"/>
      <c r="C667" s="13"/>
      <c r="D667" s="2"/>
      <c r="E667" s="2"/>
    </row>
    <row r="668" spans="1:5">
      <c r="A668" s="3" t="str">
        <f t="shared" si="10"/>
        <v/>
      </c>
      <c r="B668" s="14"/>
      <c r="C668" s="15"/>
      <c r="D668" s="1"/>
      <c r="E668" s="1"/>
    </row>
    <row r="669" spans="1:5">
      <c r="A669" s="4" t="str">
        <f t="shared" si="10"/>
        <v/>
      </c>
      <c r="B669" s="12"/>
      <c r="C669" s="13"/>
      <c r="D669" s="2"/>
      <c r="E669" s="2"/>
    </row>
    <row r="670" spans="1:5">
      <c r="A670" s="3" t="str">
        <f t="shared" si="10"/>
        <v/>
      </c>
      <c r="B670" s="14"/>
      <c r="C670" s="15"/>
      <c r="D670" s="1"/>
      <c r="E670" s="1"/>
    </row>
    <row r="671" spans="1:5">
      <c r="A671" s="4" t="str">
        <f t="shared" si="10"/>
        <v/>
      </c>
      <c r="B671" s="12"/>
      <c r="C671" s="13"/>
      <c r="D671" s="2"/>
      <c r="E671" s="2"/>
    </row>
    <row r="672" spans="1:5">
      <c r="A672" s="3" t="str">
        <f t="shared" si="10"/>
        <v/>
      </c>
      <c r="B672" s="14"/>
      <c r="C672" s="15"/>
      <c r="D672" s="1"/>
      <c r="E672" s="1"/>
    </row>
    <row r="673" spans="1:5">
      <c r="A673" s="4" t="str">
        <f t="shared" si="10"/>
        <v/>
      </c>
      <c r="B673" s="12"/>
      <c r="C673" s="13"/>
      <c r="D673" s="2"/>
      <c r="E673" s="2"/>
    </row>
    <row r="674" spans="1:5">
      <c r="A674" s="3" t="str">
        <f t="shared" si="10"/>
        <v/>
      </c>
      <c r="B674" s="14"/>
      <c r="C674" s="15"/>
      <c r="D674" s="1"/>
      <c r="E674" s="1"/>
    </row>
    <row r="675" spans="1:5">
      <c r="A675" s="4" t="str">
        <f t="shared" si="10"/>
        <v/>
      </c>
      <c r="B675" s="12"/>
      <c r="C675" s="13"/>
      <c r="D675" s="2"/>
      <c r="E675" s="2"/>
    </row>
    <row r="676" spans="1:5">
      <c r="A676" s="3" t="str">
        <f t="shared" si="10"/>
        <v/>
      </c>
      <c r="B676" s="14"/>
      <c r="C676" s="15"/>
      <c r="D676" s="1"/>
      <c r="E676" s="1"/>
    </row>
    <row r="677" spans="1:5">
      <c r="A677" s="4" t="str">
        <f t="shared" si="10"/>
        <v/>
      </c>
      <c r="B677" s="12"/>
      <c r="C677" s="13"/>
      <c r="D677" s="2"/>
      <c r="E677" s="2"/>
    </row>
    <row r="678" spans="1:5">
      <c r="A678" s="3" t="str">
        <f t="shared" si="10"/>
        <v/>
      </c>
      <c r="B678" s="14"/>
      <c r="C678" s="15"/>
      <c r="D678" s="1"/>
      <c r="E678" s="1"/>
    </row>
    <row r="679" spans="1:5">
      <c r="A679" s="4" t="str">
        <f t="shared" si="10"/>
        <v/>
      </c>
      <c r="B679" s="12"/>
      <c r="C679" s="13"/>
      <c r="D679" s="2"/>
      <c r="E679" s="2"/>
    </row>
    <row r="680" spans="1:5">
      <c r="A680" s="3" t="str">
        <f t="shared" si="10"/>
        <v/>
      </c>
      <c r="B680" s="14"/>
      <c r="C680" s="15"/>
      <c r="D680" s="1"/>
      <c r="E680" s="1"/>
    </row>
    <row r="681" spans="1:5">
      <c r="A681" s="4" t="str">
        <f t="shared" si="10"/>
        <v/>
      </c>
      <c r="B681" s="12"/>
      <c r="C681" s="13"/>
      <c r="D681" s="2"/>
      <c r="E681" s="2"/>
    </row>
    <row r="682" spans="1:5">
      <c r="A682" s="3" t="str">
        <f t="shared" si="10"/>
        <v/>
      </c>
      <c r="B682" s="14"/>
      <c r="C682" s="15"/>
      <c r="D682" s="1"/>
      <c r="E682" s="1"/>
    </row>
    <row r="683" spans="1:5">
      <c r="A683" s="4" t="str">
        <f t="shared" si="10"/>
        <v/>
      </c>
      <c r="B683" s="12"/>
      <c r="C683" s="13"/>
      <c r="D683" s="2"/>
      <c r="E683" s="2"/>
    </row>
    <row r="684" spans="1:5">
      <c r="A684" s="3" t="str">
        <f t="shared" si="10"/>
        <v/>
      </c>
      <c r="B684" s="14"/>
      <c r="C684" s="15"/>
      <c r="D684" s="1"/>
      <c r="E684" s="1"/>
    </row>
    <row r="685" spans="1:5">
      <c r="A685" s="4" t="str">
        <f t="shared" si="10"/>
        <v/>
      </c>
      <c r="B685" s="12"/>
      <c r="C685" s="13"/>
      <c r="D685" s="2"/>
      <c r="E685" s="2"/>
    </row>
    <row r="686" spans="1:5">
      <c r="A686" s="3" t="str">
        <f t="shared" si="10"/>
        <v/>
      </c>
      <c r="B686" s="14"/>
      <c r="C686" s="15"/>
      <c r="D686" s="1"/>
      <c r="E686" s="1"/>
    </row>
    <row r="687" spans="1:5">
      <c r="A687" s="4" t="str">
        <f t="shared" si="10"/>
        <v/>
      </c>
      <c r="B687" s="12"/>
      <c r="C687" s="13"/>
      <c r="D687" s="2"/>
      <c r="E687" s="2"/>
    </row>
    <row r="688" spans="1:5">
      <c r="A688" s="3" t="str">
        <f t="shared" si="10"/>
        <v/>
      </c>
      <c r="B688" s="14"/>
      <c r="C688" s="15"/>
      <c r="D688" s="1"/>
      <c r="E688" s="1"/>
    </row>
    <row r="689" spans="1:5">
      <c r="A689" s="4" t="str">
        <f t="shared" si="10"/>
        <v/>
      </c>
      <c r="B689" s="12"/>
      <c r="C689" s="13"/>
      <c r="D689" s="2"/>
      <c r="E689" s="2"/>
    </row>
    <row r="690" spans="1:5">
      <c r="A690" s="3" t="str">
        <f t="shared" si="10"/>
        <v/>
      </c>
      <c r="B690" s="14"/>
      <c r="C690" s="15"/>
      <c r="D690" s="1"/>
      <c r="E690" s="1"/>
    </row>
    <row r="691" spans="1:5">
      <c r="A691" s="4" t="str">
        <f t="shared" si="10"/>
        <v/>
      </c>
      <c r="B691" s="12"/>
      <c r="C691" s="13"/>
      <c r="D691" s="2"/>
      <c r="E691" s="2"/>
    </row>
    <row r="692" spans="1:5">
      <c r="A692" s="3" t="str">
        <f t="shared" si="10"/>
        <v/>
      </c>
      <c r="B692" s="14"/>
      <c r="C692" s="15"/>
      <c r="D692" s="1"/>
      <c r="E692" s="1"/>
    </row>
    <row r="693" spans="1:5">
      <c r="A693" s="4" t="str">
        <f t="shared" si="10"/>
        <v/>
      </c>
      <c r="B693" s="12"/>
      <c r="C693" s="13"/>
      <c r="D693" s="2"/>
      <c r="E693" s="2"/>
    </row>
    <row r="694" spans="1:5">
      <c r="A694" s="3" t="str">
        <f t="shared" si="10"/>
        <v/>
      </c>
      <c r="B694" s="14"/>
      <c r="C694" s="15"/>
      <c r="D694" s="1"/>
      <c r="E694" s="1"/>
    </row>
    <row r="695" spans="1:5">
      <c r="A695" s="4" t="str">
        <f t="shared" si="10"/>
        <v/>
      </c>
      <c r="B695" s="12"/>
      <c r="C695" s="13"/>
      <c r="D695" s="2"/>
      <c r="E695" s="2"/>
    </row>
    <row r="696" spans="1:5">
      <c r="A696" s="3" t="str">
        <f t="shared" si="10"/>
        <v/>
      </c>
      <c r="B696" s="14"/>
      <c r="C696" s="15"/>
      <c r="D696" s="1"/>
      <c r="E696" s="1"/>
    </row>
    <row r="697" spans="1:5">
      <c r="A697" s="4" t="str">
        <f t="shared" si="10"/>
        <v/>
      </c>
      <c r="B697" s="12"/>
      <c r="C697" s="13"/>
      <c r="D697" s="2"/>
      <c r="E697" s="2"/>
    </row>
    <row r="698" spans="1:5">
      <c r="A698" s="3" t="str">
        <f t="shared" si="10"/>
        <v/>
      </c>
      <c r="B698" s="14"/>
      <c r="C698" s="15"/>
      <c r="D698" s="1"/>
      <c r="E698" s="1"/>
    </row>
    <row r="699" spans="1:5">
      <c r="A699" s="4" t="str">
        <f t="shared" si="10"/>
        <v/>
      </c>
      <c r="B699" s="12"/>
      <c r="C699" s="13"/>
      <c r="D699" s="2"/>
      <c r="E699" s="2"/>
    </row>
    <row r="700" spans="1:5">
      <c r="A700" s="3" t="str">
        <f t="shared" si="10"/>
        <v/>
      </c>
      <c r="B700" s="14"/>
      <c r="C700" s="15"/>
      <c r="D700" s="1"/>
      <c r="E700" s="1"/>
    </row>
    <row r="701" spans="1:5">
      <c r="A701" s="4" t="str">
        <f t="shared" si="10"/>
        <v/>
      </c>
      <c r="B701" s="12"/>
      <c r="C701" s="13"/>
      <c r="D701" s="2"/>
      <c r="E701" s="2"/>
    </row>
    <row r="702" spans="1:5">
      <c r="A702" s="3" t="str">
        <f t="shared" si="10"/>
        <v/>
      </c>
      <c r="B702" s="14"/>
      <c r="C702" s="15"/>
      <c r="D702" s="1"/>
      <c r="E702" s="1"/>
    </row>
    <row r="703" spans="1:5">
      <c r="A703" s="4" t="str">
        <f t="shared" si="10"/>
        <v/>
      </c>
      <c r="B703" s="12"/>
      <c r="C703" s="13"/>
      <c r="D703" s="2"/>
      <c r="E703" s="2"/>
    </row>
    <row r="704" spans="1:5">
      <c r="A704" s="3" t="str">
        <f t="shared" si="10"/>
        <v/>
      </c>
      <c r="B704" s="14"/>
      <c r="C704" s="15"/>
      <c r="D704" s="1"/>
      <c r="E704" s="1"/>
    </row>
    <row r="705" spans="1:5">
      <c r="A705" s="4" t="str">
        <f t="shared" si="10"/>
        <v/>
      </c>
      <c r="B705" s="12"/>
      <c r="C705" s="13"/>
      <c r="D705" s="2"/>
      <c r="E705" s="2"/>
    </row>
    <row r="706" spans="1:5">
      <c r="A706" s="3" t="str">
        <f t="shared" si="10"/>
        <v/>
      </c>
      <c r="B706" s="14"/>
      <c r="C706" s="15"/>
      <c r="D706" s="1"/>
      <c r="E706" s="1"/>
    </row>
    <row r="707" spans="1:5">
      <c r="A707" s="4" t="str">
        <f t="shared" si="10"/>
        <v/>
      </c>
      <c r="B707" s="12"/>
      <c r="C707" s="13"/>
      <c r="D707" s="2"/>
      <c r="E707" s="2"/>
    </row>
    <row r="708" spans="1:5">
      <c r="A708" s="3" t="str">
        <f t="shared" si="10"/>
        <v/>
      </c>
      <c r="B708" s="14"/>
      <c r="C708" s="15"/>
      <c r="D708" s="1"/>
      <c r="E708" s="1"/>
    </row>
    <row r="709" spans="1:5">
      <c r="A709" s="4" t="str">
        <f t="shared" ref="A709:A772" si="11">IF(B709="","",ROW()-4)</f>
        <v/>
      </c>
      <c r="B709" s="12"/>
      <c r="C709" s="13"/>
      <c r="D709" s="2"/>
      <c r="E709" s="2"/>
    </row>
    <row r="710" spans="1:5">
      <c r="A710" s="3" t="str">
        <f t="shared" si="11"/>
        <v/>
      </c>
      <c r="B710" s="14"/>
      <c r="C710" s="15"/>
      <c r="D710" s="1"/>
      <c r="E710" s="1"/>
    </row>
    <row r="711" spans="1:5">
      <c r="A711" s="4" t="str">
        <f t="shared" si="11"/>
        <v/>
      </c>
      <c r="B711" s="12"/>
      <c r="C711" s="13"/>
      <c r="D711" s="2"/>
      <c r="E711" s="2"/>
    </row>
    <row r="712" spans="1:5">
      <c r="A712" s="3" t="str">
        <f t="shared" si="11"/>
        <v/>
      </c>
      <c r="B712" s="14"/>
      <c r="C712" s="15"/>
      <c r="D712" s="1"/>
      <c r="E712" s="1"/>
    </row>
    <row r="713" spans="1:5">
      <c r="A713" s="4" t="str">
        <f t="shared" si="11"/>
        <v/>
      </c>
      <c r="B713" s="12"/>
      <c r="C713" s="13"/>
      <c r="D713" s="2"/>
      <c r="E713" s="2"/>
    </row>
    <row r="714" spans="1:5">
      <c r="A714" s="3" t="str">
        <f t="shared" si="11"/>
        <v/>
      </c>
      <c r="B714" s="14"/>
      <c r="C714" s="15"/>
      <c r="D714" s="1"/>
      <c r="E714" s="1"/>
    </row>
    <row r="715" spans="1:5">
      <c r="A715" s="4" t="str">
        <f t="shared" si="11"/>
        <v/>
      </c>
      <c r="B715" s="12"/>
      <c r="C715" s="13"/>
      <c r="D715" s="2"/>
      <c r="E715" s="2"/>
    </row>
    <row r="716" spans="1:5">
      <c r="A716" s="3" t="str">
        <f t="shared" si="11"/>
        <v/>
      </c>
      <c r="B716" s="14"/>
      <c r="C716" s="15"/>
      <c r="D716" s="1"/>
      <c r="E716" s="1"/>
    </row>
    <row r="717" spans="1:5">
      <c r="A717" s="4" t="str">
        <f t="shared" si="11"/>
        <v/>
      </c>
      <c r="B717" s="12"/>
      <c r="C717" s="13"/>
      <c r="D717" s="2"/>
      <c r="E717" s="2"/>
    </row>
    <row r="718" spans="1:5">
      <c r="A718" s="3" t="str">
        <f t="shared" si="11"/>
        <v/>
      </c>
      <c r="B718" s="14"/>
      <c r="C718" s="15"/>
      <c r="D718" s="1"/>
      <c r="E718" s="1"/>
    </row>
    <row r="719" spans="1:5">
      <c r="A719" s="4" t="str">
        <f t="shared" si="11"/>
        <v/>
      </c>
      <c r="B719" s="12"/>
      <c r="C719" s="13"/>
      <c r="D719" s="2"/>
      <c r="E719" s="2"/>
    </row>
    <row r="720" spans="1:5">
      <c r="A720" s="3" t="str">
        <f t="shared" si="11"/>
        <v/>
      </c>
      <c r="B720" s="14"/>
      <c r="C720" s="15"/>
      <c r="D720" s="1"/>
      <c r="E720" s="1"/>
    </row>
    <row r="721" spans="1:5">
      <c r="A721" s="4" t="str">
        <f t="shared" si="11"/>
        <v/>
      </c>
      <c r="B721" s="12"/>
      <c r="C721" s="13"/>
      <c r="D721" s="2"/>
      <c r="E721" s="2"/>
    </row>
    <row r="722" spans="1:5">
      <c r="A722" s="3" t="str">
        <f t="shared" si="11"/>
        <v/>
      </c>
      <c r="B722" s="14"/>
      <c r="C722" s="15"/>
      <c r="D722" s="1"/>
      <c r="E722" s="1"/>
    </row>
    <row r="723" spans="1:5">
      <c r="A723" s="4" t="str">
        <f t="shared" si="11"/>
        <v/>
      </c>
      <c r="B723" s="12"/>
      <c r="C723" s="13"/>
      <c r="D723" s="2"/>
      <c r="E723" s="2"/>
    </row>
    <row r="724" spans="1:5">
      <c r="A724" s="3" t="str">
        <f t="shared" si="11"/>
        <v/>
      </c>
      <c r="B724" s="14"/>
      <c r="C724" s="15"/>
      <c r="D724" s="1"/>
      <c r="E724" s="1"/>
    </row>
    <row r="725" spans="1:5">
      <c r="A725" s="4" t="str">
        <f t="shared" si="11"/>
        <v/>
      </c>
      <c r="B725" s="12"/>
      <c r="C725" s="13"/>
      <c r="D725" s="2"/>
      <c r="E725" s="2"/>
    </row>
    <row r="726" spans="1:5">
      <c r="A726" s="3" t="str">
        <f t="shared" si="11"/>
        <v/>
      </c>
      <c r="B726" s="14"/>
      <c r="C726" s="15"/>
      <c r="D726" s="1"/>
      <c r="E726" s="1"/>
    </row>
    <row r="727" spans="1:5">
      <c r="A727" s="4" t="str">
        <f t="shared" si="11"/>
        <v/>
      </c>
      <c r="B727" s="12"/>
      <c r="C727" s="13"/>
      <c r="D727" s="2"/>
      <c r="E727" s="2"/>
    </row>
    <row r="728" spans="1:5">
      <c r="A728" s="3" t="str">
        <f t="shared" si="11"/>
        <v/>
      </c>
      <c r="B728" s="14"/>
      <c r="C728" s="15"/>
      <c r="D728" s="1"/>
      <c r="E728" s="1"/>
    </row>
    <row r="729" spans="1:5">
      <c r="A729" s="4" t="str">
        <f t="shared" si="11"/>
        <v/>
      </c>
      <c r="B729" s="12"/>
      <c r="C729" s="13"/>
      <c r="D729" s="2"/>
      <c r="E729" s="2"/>
    </row>
    <row r="730" spans="1:5">
      <c r="A730" s="3" t="str">
        <f t="shared" si="11"/>
        <v/>
      </c>
      <c r="B730" s="14"/>
      <c r="C730" s="15"/>
      <c r="D730" s="1"/>
      <c r="E730" s="1"/>
    </row>
    <row r="731" spans="1:5">
      <c r="A731" s="4" t="str">
        <f t="shared" si="11"/>
        <v/>
      </c>
      <c r="B731" s="12"/>
      <c r="C731" s="13"/>
      <c r="D731" s="2"/>
      <c r="E731" s="2"/>
    </row>
    <row r="732" spans="1:5">
      <c r="A732" s="3" t="str">
        <f t="shared" si="11"/>
        <v/>
      </c>
      <c r="B732" s="14"/>
      <c r="C732" s="15"/>
      <c r="D732" s="1"/>
      <c r="E732" s="1"/>
    </row>
    <row r="733" spans="1:5">
      <c r="A733" s="4" t="str">
        <f t="shared" si="11"/>
        <v/>
      </c>
      <c r="B733" s="12"/>
      <c r="C733" s="13"/>
      <c r="D733" s="2"/>
      <c r="E733" s="2"/>
    </row>
    <row r="734" spans="1:5">
      <c r="A734" s="3" t="str">
        <f t="shared" si="11"/>
        <v/>
      </c>
      <c r="B734" s="14"/>
      <c r="C734" s="15"/>
      <c r="D734" s="1"/>
      <c r="E734" s="1"/>
    </row>
    <row r="735" spans="1:5">
      <c r="A735" s="4" t="str">
        <f t="shared" si="11"/>
        <v/>
      </c>
      <c r="B735" s="12"/>
      <c r="C735" s="13"/>
      <c r="D735" s="2"/>
      <c r="E735" s="2"/>
    </row>
    <row r="736" spans="1:5">
      <c r="A736" s="3" t="str">
        <f t="shared" si="11"/>
        <v/>
      </c>
      <c r="B736" s="14"/>
      <c r="C736" s="15"/>
      <c r="D736" s="1"/>
      <c r="E736" s="1"/>
    </row>
    <row r="737" spans="1:5">
      <c r="A737" s="4" t="str">
        <f t="shared" si="11"/>
        <v/>
      </c>
      <c r="B737" s="12"/>
      <c r="C737" s="13"/>
      <c r="D737" s="2"/>
      <c r="E737" s="2"/>
    </row>
    <row r="738" spans="1:5">
      <c r="A738" s="3" t="str">
        <f t="shared" si="11"/>
        <v/>
      </c>
      <c r="B738" s="14"/>
      <c r="C738" s="15"/>
      <c r="D738" s="1"/>
      <c r="E738" s="1"/>
    </row>
    <row r="739" spans="1:5">
      <c r="A739" s="4" t="str">
        <f t="shared" si="11"/>
        <v/>
      </c>
      <c r="B739" s="12"/>
      <c r="C739" s="13"/>
      <c r="D739" s="2"/>
      <c r="E739" s="2"/>
    </row>
    <row r="740" spans="1:5">
      <c r="A740" s="3" t="str">
        <f t="shared" si="11"/>
        <v/>
      </c>
      <c r="B740" s="14"/>
      <c r="C740" s="15"/>
      <c r="D740" s="1"/>
      <c r="E740" s="1"/>
    </row>
    <row r="741" spans="1:5">
      <c r="A741" s="4" t="str">
        <f t="shared" si="11"/>
        <v/>
      </c>
      <c r="B741" s="12"/>
      <c r="C741" s="13"/>
      <c r="D741" s="2"/>
      <c r="E741" s="2"/>
    </row>
    <row r="742" spans="1:5">
      <c r="A742" s="3" t="str">
        <f t="shared" si="11"/>
        <v/>
      </c>
      <c r="B742" s="14"/>
      <c r="C742" s="15"/>
      <c r="D742" s="1"/>
      <c r="E742" s="1"/>
    </row>
    <row r="743" spans="1:5">
      <c r="A743" s="4" t="str">
        <f t="shared" si="11"/>
        <v/>
      </c>
      <c r="B743" s="12"/>
      <c r="C743" s="13"/>
      <c r="D743" s="2"/>
      <c r="E743" s="2"/>
    </row>
    <row r="744" spans="1:5">
      <c r="A744" s="3" t="str">
        <f t="shared" si="11"/>
        <v/>
      </c>
      <c r="B744" s="14"/>
      <c r="C744" s="15"/>
      <c r="D744" s="1"/>
      <c r="E744" s="1"/>
    </row>
    <row r="745" spans="1:5">
      <c r="A745" s="4" t="str">
        <f t="shared" si="11"/>
        <v/>
      </c>
      <c r="B745" s="12"/>
      <c r="C745" s="13"/>
      <c r="D745" s="2"/>
      <c r="E745" s="2"/>
    </row>
    <row r="746" spans="1:5">
      <c r="A746" s="3" t="str">
        <f t="shared" si="11"/>
        <v/>
      </c>
      <c r="B746" s="14"/>
      <c r="C746" s="15"/>
      <c r="D746" s="1"/>
      <c r="E746" s="1"/>
    </row>
    <row r="747" spans="1:5">
      <c r="A747" s="4" t="str">
        <f t="shared" si="11"/>
        <v/>
      </c>
      <c r="B747" s="12"/>
      <c r="C747" s="13"/>
      <c r="D747" s="2"/>
      <c r="E747" s="2"/>
    </row>
    <row r="748" spans="1:5">
      <c r="A748" s="3" t="str">
        <f t="shared" si="11"/>
        <v/>
      </c>
      <c r="B748" s="14"/>
      <c r="C748" s="15"/>
      <c r="D748" s="1"/>
      <c r="E748" s="1"/>
    </row>
    <row r="749" spans="1:5">
      <c r="A749" s="4" t="str">
        <f t="shared" si="11"/>
        <v/>
      </c>
      <c r="B749" s="12"/>
      <c r="C749" s="13"/>
      <c r="D749" s="2"/>
      <c r="E749" s="2"/>
    </row>
    <row r="750" spans="1:5">
      <c r="A750" s="3" t="str">
        <f t="shared" si="11"/>
        <v/>
      </c>
      <c r="B750" s="14"/>
      <c r="C750" s="15"/>
      <c r="D750" s="1"/>
      <c r="E750" s="1"/>
    </row>
    <row r="751" spans="1:5">
      <c r="A751" s="4" t="str">
        <f t="shared" si="11"/>
        <v/>
      </c>
      <c r="B751" s="12"/>
      <c r="C751" s="13"/>
      <c r="D751" s="2"/>
      <c r="E751" s="2"/>
    </row>
    <row r="752" spans="1:5">
      <c r="A752" s="3" t="str">
        <f t="shared" si="11"/>
        <v/>
      </c>
      <c r="B752" s="14"/>
      <c r="C752" s="15"/>
      <c r="D752" s="1"/>
      <c r="E752" s="1"/>
    </row>
    <row r="753" spans="1:5">
      <c r="A753" s="4" t="str">
        <f t="shared" si="11"/>
        <v/>
      </c>
      <c r="B753" s="12"/>
      <c r="C753" s="13"/>
      <c r="D753" s="2"/>
      <c r="E753" s="2"/>
    </row>
    <row r="754" spans="1:5">
      <c r="A754" s="3" t="str">
        <f t="shared" si="11"/>
        <v/>
      </c>
      <c r="B754" s="14"/>
      <c r="C754" s="15"/>
      <c r="D754" s="1"/>
      <c r="E754" s="1"/>
    </row>
    <row r="755" spans="1:5">
      <c r="A755" s="4" t="str">
        <f t="shared" si="11"/>
        <v/>
      </c>
      <c r="B755" s="12"/>
      <c r="C755" s="13"/>
      <c r="D755" s="2"/>
      <c r="E755" s="2"/>
    </row>
    <row r="756" spans="1:5">
      <c r="A756" s="3" t="str">
        <f t="shared" si="11"/>
        <v/>
      </c>
      <c r="B756" s="14"/>
      <c r="C756" s="15"/>
      <c r="D756" s="1"/>
      <c r="E756" s="1"/>
    </row>
    <row r="757" spans="1:5">
      <c r="A757" s="4" t="str">
        <f t="shared" si="11"/>
        <v/>
      </c>
      <c r="B757" s="12"/>
      <c r="C757" s="13"/>
      <c r="D757" s="2"/>
      <c r="E757" s="2"/>
    </row>
    <row r="758" spans="1:5">
      <c r="A758" s="3" t="str">
        <f t="shared" si="11"/>
        <v/>
      </c>
      <c r="B758" s="14"/>
      <c r="C758" s="15"/>
      <c r="D758" s="1"/>
      <c r="E758" s="1"/>
    </row>
    <row r="759" spans="1:5">
      <c r="A759" s="4" t="str">
        <f t="shared" si="11"/>
        <v/>
      </c>
      <c r="B759" s="12"/>
      <c r="C759" s="13"/>
      <c r="D759" s="2"/>
      <c r="E759" s="2"/>
    </row>
    <row r="760" spans="1:5">
      <c r="A760" s="3" t="str">
        <f t="shared" si="11"/>
        <v/>
      </c>
      <c r="B760" s="14"/>
      <c r="C760" s="15"/>
      <c r="D760" s="1"/>
      <c r="E760" s="1"/>
    </row>
    <row r="761" spans="1:5">
      <c r="A761" s="4" t="str">
        <f t="shared" si="11"/>
        <v/>
      </c>
      <c r="B761" s="12"/>
      <c r="C761" s="13"/>
      <c r="D761" s="2"/>
      <c r="E761" s="2"/>
    </row>
    <row r="762" spans="1:5">
      <c r="A762" s="3" t="str">
        <f t="shared" si="11"/>
        <v/>
      </c>
      <c r="B762" s="14"/>
      <c r="C762" s="15"/>
      <c r="D762" s="1"/>
      <c r="E762" s="1"/>
    </row>
    <row r="763" spans="1:5">
      <c r="A763" s="4" t="str">
        <f t="shared" si="11"/>
        <v/>
      </c>
      <c r="B763" s="12"/>
      <c r="C763" s="13"/>
      <c r="D763" s="2"/>
      <c r="E763" s="2"/>
    </row>
    <row r="764" spans="1:5">
      <c r="A764" s="3" t="str">
        <f t="shared" si="11"/>
        <v/>
      </c>
      <c r="B764" s="14"/>
      <c r="C764" s="15"/>
      <c r="D764" s="1"/>
      <c r="E764" s="1"/>
    </row>
    <row r="765" spans="1:5">
      <c r="A765" s="4" t="str">
        <f t="shared" si="11"/>
        <v/>
      </c>
      <c r="B765" s="12"/>
      <c r="C765" s="13"/>
      <c r="D765" s="2"/>
      <c r="E765" s="2"/>
    </row>
    <row r="766" spans="1:5">
      <c r="A766" s="3" t="str">
        <f t="shared" si="11"/>
        <v/>
      </c>
      <c r="B766" s="14"/>
      <c r="C766" s="15"/>
      <c r="D766" s="1"/>
      <c r="E766" s="1"/>
    </row>
    <row r="767" spans="1:5">
      <c r="A767" s="4" t="str">
        <f t="shared" si="11"/>
        <v/>
      </c>
      <c r="B767" s="12"/>
      <c r="C767" s="13"/>
      <c r="D767" s="2"/>
      <c r="E767" s="2"/>
    </row>
    <row r="768" spans="1:5">
      <c r="A768" s="3" t="str">
        <f t="shared" si="11"/>
        <v/>
      </c>
      <c r="B768" s="14"/>
      <c r="C768" s="15"/>
      <c r="D768" s="1"/>
      <c r="E768" s="1"/>
    </row>
    <row r="769" spans="1:5">
      <c r="A769" s="4" t="str">
        <f t="shared" si="11"/>
        <v/>
      </c>
      <c r="B769" s="12"/>
      <c r="C769" s="13"/>
      <c r="D769" s="2"/>
      <c r="E769" s="2"/>
    </row>
    <row r="770" spans="1:5">
      <c r="A770" s="3" t="str">
        <f t="shared" si="11"/>
        <v/>
      </c>
      <c r="B770" s="14"/>
      <c r="C770" s="15"/>
      <c r="D770" s="1"/>
      <c r="E770" s="1"/>
    </row>
    <row r="771" spans="1:5">
      <c r="A771" s="4" t="str">
        <f t="shared" si="11"/>
        <v/>
      </c>
      <c r="B771" s="12"/>
      <c r="C771" s="13"/>
      <c r="D771" s="2"/>
      <c r="E771" s="2"/>
    </row>
    <row r="772" spans="1:5">
      <c r="A772" s="3" t="str">
        <f t="shared" si="11"/>
        <v/>
      </c>
      <c r="B772" s="14"/>
      <c r="C772" s="15"/>
      <c r="D772" s="1"/>
      <c r="E772" s="1"/>
    </row>
    <row r="773" spans="1:5">
      <c r="A773" s="4" t="str">
        <f t="shared" ref="A773:A836" si="12">IF(B773="","",ROW()-4)</f>
        <v/>
      </c>
      <c r="B773" s="12"/>
      <c r="C773" s="13"/>
      <c r="D773" s="2"/>
      <c r="E773" s="2"/>
    </row>
    <row r="774" spans="1:5">
      <c r="A774" s="3" t="str">
        <f t="shared" si="12"/>
        <v/>
      </c>
      <c r="B774" s="14"/>
      <c r="C774" s="15"/>
      <c r="D774" s="1"/>
      <c r="E774" s="1"/>
    </row>
    <row r="775" spans="1:5">
      <c r="A775" s="4" t="str">
        <f t="shared" si="12"/>
        <v/>
      </c>
      <c r="B775" s="12"/>
      <c r="C775" s="13"/>
      <c r="D775" s="2"/>
      <c r="E775" s="2"/>
    </row>
    <row r="776" spans="1:5">
      <c r="A776" s="3" t="str">
        <f t="shared" si="12"/>
        <v/>
      </c>
      <c r="B776" s="14"/>
      <c r="C776" s="15"/>
      <c r="D776" s="1"/>
      <c r="E776" s="1"/>
    </row>
    <row r="777" spans="1:5">
      <c r="A777" s="4" t="str">
        <f t="shared" si="12"/>
        <v/>
      </c>
      <c r="B777" s="12"/>
      <c r="C777" s="13"/>
      <c r="D777" s="2"/>
      <c r="E777" s="2"/>
    </row>
    <row r="778" spans="1:5">
      <c r="A778" s="3" t="str">
        <f t="shared" si="12"/>
        <v/>
      </c>
      <c r="B778" s="14"/>
      <c r="C778" s="15"/>
      <c r="D778" s="1"/>
      <c r="E778" s="1"/>
    </row>
    <row r="779" spans="1:5">
      <c r="A779" s="4" t="str">
        <f t="shared" si="12"/>
        <v/>
      </c>
      <c r="B779" s="12"/>
      <c r="C779" s="13"/>
      <c r="D779" s="2"/>
      <c r="E779" s="2"/>
    </row>
    <row r="780" spans="1:5">
      <c r="A780" s="3" t="str">
        <f t="shared" si="12"/>
        <v/>
      </c>
      <c r="B780" s="14"/>
      <c r="C780" s="15"/>
      <c r="D780" s="1"/>
      <c r="E780" s="1"/>
    </row>
    <row r="781" spans="1:5">
      <c r="A781" s="4" t="str">
        <f t="shared" si="12"/>
        <v/>
      </c>
      <c r="B781" s="12"/>
      <c r="C781" s="13"/>
      <c r="D781" s="2"/>
      <c r="E781" s="2"/>
    </row>
    <row r="782" spans="1:5">
      <c r="A782" s="3" t="str">
        <f t="shared" si="12"/>
        <v/>
      </c>
      <c r="B782" s="14"/>
      <c r="C782" s="15"/>
      <c r="D782" s="1"/>
      <c r="E782" s="1"/>
    </row>
    <row r="783" spans="1:5">
      <c r="A783" s="4" t="str">
        <f t="shared" si="12"/>
        <v/>
      </c>
      <c r="B783" s="12"/>
      <c r="C783" s="13"/>
      <c r="D783" s="2"/>
      <c r="E783" s="2"/>
    </row>
    <row r="784" spans="1:5">
      <c r="A784" s="3" t="str">
        <f t="shared" si="12"/>
        <v/>
      </c>
      <c r="B784" s="14"/>
      <c r="C784" s="15"/>
      <c r="D784" s="1"/>
      <c r="E784" s="1"/>
    </row>
    <row r="785" spans="1:5">
      <c r="A785" s="4" t="str">
        <f t="shared" si="12"/>
        <v/>
      </c>
      <c r="B785" s="12"/>
      <c r="C785" s="13"/>
      <c r="D785" s="2"/>
      <c r="E785" s="2"/>
    </row>
    <row r="786" spans="1:5">
      <c r="A786" s="3" t="str">
        <f t="shared" si="12"/>
        <v/>
      </c>
      <c r="B786" s="14"/>
      <c r="C786" s="15"/>
      <c r="D786" s="1"/>
      <c r="E786" s="1"/>
    </row>
    <row r="787" spans="1:5">
      <c r="A787" s="4" t="str">
        <f t="shared" si="12"/>
        <v/>
      </c>
      <c r="B787" s="12"/>
      <c r="C787" s="13"/>
      <c r="D787" s="2"/>
      <c r="E787" s="2"/>
    </row>
    <row r="788" spans="1:5">
      <c r="A788" s="3" t="str">
        <f t="shared" si="12"/>
        <v/>
      </c>
      <c r="B788" s="14"/>
      <c r="C788" s="15"/>
      <c r="D788" s="1"/>
      <c r="E788" s="1"/>
    </row>
    <row r="789" spans="1:5">
      <c r="A789" s="4" t="str">
        <f t="shared" si="12"/>
        <v/>
      </c>
      <c r="B789" s="12"/>
      <c r="C789" s="13"/>
      <c r="D789" s="2"/>
      <c r="E789" s="2"/>
    </row>
    <row r="790" spans="1:5">
      <c r="A790" s="3" t="str">
        <f t="shared" si="12"/>
        <v/>
      </c>
      <c r="B790" s="14"/>
      <c r="C790" s="15"/>
      <c r="D790" s="1"/>
      <c r="E790" s="1"/>
    </row>
    <row r="791" spans="1:5">
      <c r="A791" s="4" t="str">
        <f t="shared" si="12"/>
        <v/>
      </c>
      <c r="B791" s="12"/>
      <c r="C791" s="13"/>
      <c r="D791" s="2"/>
      <c r="E791" s="2"/>
    </row>
    <row r="792" spans="1:5">
      <c r="A792" s="3" t="str">
        <f t="shared" si="12"/>
        <v/>
      </c>
      <c r="B792" s="14"/>
      <c r="C792" s="15"/>
      <c r="D792" s="1"/>
      <c r="E792" s="1"/>
    </row>
    <row r="793" spans="1:5">
      <c r="A793" s="4" t="str">
        <f t="shared" si="12"/>
        <v/>
      </c>
      <c r="B793" s="12"/>
      <c r="C793" s="13"/>
      <c r="D793" s="2"/>
      <c r="E793" s="2"/>
    </row>
    <row r="794" spans="1:5">
      <c r="A794" s="3" t="str">
        <f t="shared" si="12"/>
        <v/>
      </c>
      <c r="B794" s="14"/>
      <c r="C794" s="15"/>
      <c r="D794" s="1"/>
      <c r="E794" s="1"/>
    </row>
    <row r="795" spans="1:5">
      <c r="A795" s="4" t="str">
        <f t="shared" si="12"/>
        <v/>
      </c>
      <c r="B795" s="12"/>
      <c r="C795" s="13"/>
      <c r="D795" s="2"/>
      <c r="E795" s="2"/>
    </row>
    <row r="796" spans="1:5">
      <c r="A796" s="3" t="str">
        <f t="shared" si="12"/>
        <v/>
      </c>
      <c r="B796" s="14"/>
      <c r="C796" s="15"/>
      <c r="D796" s="1"/>
      <c r="E796" s="1"/>
    </row>
    <row r="797" spans="1:5">
      <c r="A797" s="4" t="str">
        <f t="shared" si="12"/>
        <v/>
      </c>
      <c r="B797" s="12"/>
      <c r="C797" s="13"/>
      <c r="D797" s="2"/>
      <c r="E797" s="2"/>
    </row>
    <row r="798" spans="1:5">
      <c r="A798" s="3" t="str">
        <f t="shared" si="12"/>
        <v/>
      </c>
      <c r="B798" s="14"/>
      <c r="C798" s="15"/>
      <c r="D798" s="1"/>
      <c r="E798" s="1"/>
    </row>
    <row r="799" spans="1:5">
      <c r="A799" s="4" t="str">
        <f t="shared" si="12"/>
        <v/>
      </c>
      <c r="B799" s="12"/>
      <c r="C799" s="13"/>
      <c r="D799" s="2"/>
      <c r="E799" s="2"/>
    </row>
    <row r="800" spans="1:5">
      <c r="A800" s="3" t="str">
        <f t="shared" si="12"/>
        <v/>
      </c>
      <c r="B800" s="14"/>
      <c r="C800" s="15"/>
      <c r="D800" s="1"/>
      <c r="E800" s="1"/>
    </row>
    <row r="801" spans="1:5">
      <c r="A801" s="4" t="str">
        <f t="shared" si="12"/>
        <v/>
      </c>
      <c r="B801" s="12"/>
      <c r="C801" s="13"/>
      <c r="D801" s="2"/>
      <c r="E801" s="2"/>
    </row>
    <row r="802" spans="1:5">
      <c r="A802" s="3" t="str">
        <f t="shared" si="12"/>
        <v/>
      </c>
      <c r="B802" s="14"/>
      <c r="C802" s="15"/>
      <c r="D802" s="1"/>
      <c r="E802" s="1"/>
    </row>
    <row r="803" spans="1:5">
      <c r="A803" s="4" t="str">
        <f t="shared" si="12"/>
        <v/>
      </c>
      <c r="B803" s="12"/>
      <c r="C803" s="13"/>
      <c r="D803" s="2"/>
      <c r="E803" s="2"/>
    </row>
    <row r="804" spans="1:5">
      <c r="A804" s="3" t="str">
        <f t="shared" si="12"/>
        <v/>
      </c>
      <c r="B804" s="14"/>
      <c r="C804" s="15"/>
      <c r="D804" s="1"/>
      <c r="E804" s="1"/>
    </row>
    <row r="805" spans="1:5">
      <c r="A805" s="4" t="str">
        <f t="shared" si="12"/>
        <v/>
      </c>
      <c r="B805" s="12"/>
      <c r="C805" s="13"/>
      <c r="D805" s="2"/>
      <c r="E805" s="2"/>
    </row>
    <row r="806" spans="1:5">
      <c r="A806" s="3" t="str">
        <f t="shared" si="12"/>
        <v/>
      </c>
      <c r="B806" s="14"/>
      <c r="C806" s="15"/>
      <c r="D806" s="1"/>
      <c r="E806" s="1"/>
    </row>
    <row r="807" spans="1:5">
      <c r="A807" s="4" t="str">
        <f t="shared" si="12"/>
        <v/>
      </c>
      <c r="B807" s="12"/>
      <c r="C807" s="13"/>
      <c r="D807" s="2"/>
      <c r="E807" s="2"/>
    </row>
    <row r="808" spans="1:5">
      <c r="A808" s="3" t="str">
        <f t="shared" si="12"/>
        <v/>
      </c>
      <c r="B808" s="14"/>
      <c r="C808" s="15"/>
      <c r="D808" s="1"/>
      <c r="E808" s="1"/>
    </row>
    <row r="809" spans="1:5">
      <c r="A809" s="4" t="str">
        <f t="shared" si="12"/>
        <v/>
      </c>
      <c r="B809" s="12"/>
      <c r="C809" s="13"/>
      <c r="D809" s="2"/>
      <c r="E809" s="2"/>
    </row>
    <row r="810" spans="1:5">
      <c r="A810" s="3" t="str">
        <f t="shared" si="12"/>
        <v/>
      </c>
      <c r="B810" s="14"/>
      <c r="C810" s="15"/>
      <c r="D810" s="1"/>
      <c r="E810" s="1"/>
    </row>
    <row r="811" spans="1:5">
      <c r="A811" s="4" t="str">
        <f t="shared" si="12"/>
        <v/>
      </c>
      <c r="B811" s="12"/>
      <c r="C811" s="13"/>
      <c r="D811" s="2"/>
      <c r="E811" s="2"/>
    </row>
    <row r="812" spans="1:5">
      <c r="A812" s="3" t="str">
        <f t="shared" si="12"/>
        <v/>
      </c>
      <c r="B812" s="14"/>
      <c r="C812" s="15"/>
      <c r="D812" s="1"/>
      <c r="E812" s="1"/>
    </row>
    <row r="813" spans="1:5">
      <c r="A813" s="4" t="str">
        <f t="shared" si="12"/>
        <v/>
      </c>
      <c r="B813" s="12"/>
      <c r="C813" s="13"/>
      <c r="D813" s="2"/>
      <c r="E813" s="2"/>
    </row>
    <row r="814" spans="1:5">
      <c r="A814" s="3" t="str">
        <f t="shared" si="12"/>
        <v/>
      </c>
      <c r="B814" s="14"/>
      <c r="C814" s="15"/>
      <c r="D814" s="1"/>
      <c r="E814" s="1"/>
    </row>
    <row r="815" spans="1:5">
      <c r="A815" s="4" t="str">
        <f t="shared" si="12"/>
        <v/>
      </c>
      <c r="B815" s="12"/>
      <c r="C815" s="13"/>
      <c r="D815" s="2"/>
      <c r="E815" s="2"/>
    </row>
    <row r="816" spans="1:5">
      <c r="A816" s="3" t="str">
        <f t="shared" si="12"/>
        <v/>
      </c>
      <c r="B816" s="14"/>
      <c r="C816" s="15"/>
      <c r="D816" s="1"/>
      <c r="E816" s="1"/>
    </row>
    <row r="817" spans="1:5">
      <c r="A817" s="4" t="str">
        <f t="shared" si="12"/>
        <v/>
      </c>
      <c r="B817" s="12"/>
      <c r="C817" s="13"/>
      <c r="D817" s="2"/>
      <c r="E817" s="2"/>
    </row>
    <row r="818" spans="1:5">
      <c r="A818" s="3" t="str">
        <f t="shared" si="12"/>
        <v/>
      </c>
      <c r="B818" s="14"/>
      <c r="C818" s="15"/>
      <c r="D818" s="1"/>
      <c r="E818" s="1"/>
    </row>
    <row r="819" spans="1:5">
      <c r="A819" s="4" t="str">
        <f t="shared" si="12"/>
        <v/>
      </c>
      <c r="B819" s="12"/>
      <c r="C819" s="13"/>
      <c r="D819" s="2"/>
      <c r="E819" s="2"/>
    </row>
    <row r="820" spans="1:5">
      <c r="A820" s="3" t="str">
        <f t="shared" si="12"/>
        <v/>
      </c>
      <c r="B820" s="14"/>
      <c r="C820" s="15"/>
      <c r="D820" s="1"/>
      <c r="E820" s="1"/>
    </row>
    <row r="821" spans="1:5">
      <c r="A821" s="4" t="str">
        <f t="shared" si="12"/>
        <v/>
      </c>
      <c r="B821" s="12"/>
      <c r="C821" s="13"/>
      <c r="D821" s="2"/>
      <c r="E821" s="2"/>
    </row>
    <row r="822" spans="1:5">
      <c r="A822" s="3" t="str">
        <f t="shared" si="12"/>
        <v/>
      </c>
      <c r="B822" s="14"/>
      <c r="C822" s="15"/>
      <c r="D822" s="1"/>
      <c r="E822" s="1"/>
    </row>
    <row r="823" spans="1:5">
      <c r="A823" s="4" t="str">
        <f t="shared" si="12"/>
        <v/>
      </c>
      <c r="B823" s="12"/>
      <c r="C823" s="13"/>
      <c r="D823" s="2"/>
      <c r="E823" s="2"/>
    </row>
    <row r="824" spans="1:5">
      <c r="A824" s="3" t="str">
        <f t="shared" si="12"/>
        <v/>
      </c>
      <c r="B824" s="14"/>
      <c r="C824" s="15"/>
      <c r="D824" s="1"/>
      <c r="E824" s="1"/>
    </row>
    <row r="825" spans="1:5">
      <c r="A825" s="4" t="str">
        <f t="shared" si="12"/>
        <v/>
      </c>
      <c r="B825" s="12"/>
      <c r="C825" s="13"/>
      <c r="D825" s="2"/>
      <c r="E825" s="2"/>
    </row>
    <row r="826" spans="1:5">
      <c r="A826" s="3" t="str">
        <f t="shared" si="12"/>
        <v/>
      </c>
      <c r="B826" s="14"/>
      <c r="C826" s="15"/>
      <c r="D826" s="1"/>
      <c r="E826" s="1"/>
    </row>
    <row r="827" spans="1:5">
      <c r="A827" s="4" t="str">
        <f t="shared" si="12"/>
        <v/>
      </c>
      <c r="B827" s="12"/>
      <c r="C827" s="13"/>
      <c r="D827" s="2"/>
      <c r="E827" s="2"/>
    </row>
    <row r="828" spans="1:5">
      <c r="A828" s="3" t="str">
        <f t="shared" si="12"/>
        <v/>
      </c>
      <c r="B828" s="14"/>
      <c r="C828" s="15"/>
      <c r="D828" s="1"/>
      <c r="E828" s="1"/>
    </row>
    <row r="829" spans="1:5">
      <c r="A829" s="4" t="str">
        <f t="shared" si="12"/>
        <v/>
      </c>
      <c r="B829" s="12"/>
      <c r="C829" s="13"/>
      <c r="D829" s="2"/>
      <c r="E829" s="2"/>
    </row>
    <row r="830" spans="1:5">
      <c r="A830" s="3" t="str">
        <f t="shared" si="12"/>
        <v/>
      </c>
      <c r="B830" s="14"/>
      <c r="C830" s="15"/>
      <c r="D830" s="1"/>
      <c r="E830" s="1"/>
    </row>
    <row r="831" spans="1:5">
      <c r="A831" s="4" t="str">
        <f t="shared" si="12"/>
        <v/>
      </c>
      <c r="B831" s="12"/>
      <c r="C831" s="13"/>
      <c r="D831" s="2"/>
      <c r="E831" s="2"/>
    </row>
    <row r="832" spans="1:5">
      <c r="A832" s="3" t="str">
        <f t="shared" si="12"/>
        <v/>
      </c>
      <c r="B832" s="14"/>
      <c r="C832" s="15"/>
      <c r="D832" s="1"/>
      <c r="E832" s="1"/>
    </row>
    <row r="833" spans="1:5">
      <c r="A833" s="4" t="str">
        <f t="shared" si="12"/>
        <v/>
      </c>
      <c r="B833" s="12"/>
      <c r="C833" s="13"/>
      <c r="D833" s="2"/>
      <c r="E833" s="2"/>
    </row>
    <row r="834" spans="1:5">
      <c r="A834" s="3" t="str">
        <f t="shared" si="12"/>
        <v/>
      </c>
      <c r="B834" s="14"/>
      <c r="C834" s="15"/>
      <c r="D834" s="1"/>
      <c r="E834" s="1"/>
    </row>
    <row r="835" spans="1:5">
      <c r="A835" s="4" t="str">
        <f t="shared" si="12"/>
        <v/>
      </c>
      <c r="B835" s="12"/>
      <c r="C835" s="13"/>
      <c r="D835" s="2"/>
      <c r="E835" s="2"/>
    </row>
    <row r="836" spans="1:5">
      <c r="A836" s="3" t="str">
        <f t="shared" si="12"/>
        <v/>
      </c>
      <c r="B836" s="14"/>
      <c r="C836" s="15"/>
      <c r="D836" s="1"/>
      <c r="E836" s="1"/>
    </row>
    <row r="837" spans="1:5">
      <c r="A837" s="4" t="str">
        <f t="shared" ref="A837:A900" si="13">IF(B837="","",ROW()-4)</f>
        <v/>
      </c>
      <c r="B837" s="12"/>
      <c r="C837" s="13"/>
      <c r="D837" s="2"/>
      <c r="E837" s="2"/>
    </row>
    <row r="838" spans="1:5">
      <c r="A838" s="3" t="str">
        <f t="shared" si="13"/>
        <v/>
      </c>
      <c r="B838" s="14"/>
      <c r="C838" s="15"/>
      <c r="D838" s="1"/>
      <c r="E838" s="1"/>
    </row>
    <row r="839" spans="1:5">
      <c r="A839" s="4" t="str">
        <f t="shared" si="13"/>
        <v/>
      </c>
      <c r="B839" s="12"/>
      <c r="C839" s="13"/>
      <c r="D839" s="2"/>
      <c r="E839" s="2"/>
    </row>
    <row r="840" spans="1:5">
      <c r="A840" s="3" t="str">
        <f t="shared" si="13"/>
        <v/>
      </c>
      <c r="B840" s="14"/>
      <c r="C840" s="15"/>
      <c r="D840" s="1"/>
      <c r="E840" s="1"/>
    </row>
    <row r="841" spans="1:5">
      <c r="A841" s="4" t="str">
        <f t="shared" si="13"/>
        <v/>
      </c>
      <c r="B841" s="12"/>
      <c r="C841" s="13"/>
      <c r="D841" s="2"/>
      <c r="E841" s="2"/>
    </row>
    <row r="842" spans="1:5">
      <c r="A842" s="3" t="str">
        <f t="shared" si="13"/>
        <v/>
      </c>
      <c r="B842" s="14"/>
      <c r="C842" s="15"/>
      <c r="D842" s="1"/>
      <c r="E842" s="1"/>
    </row>
    <row r="843" spans="1:5">
      <c r="A843" s="4" t="str">
        <f t="shared" si="13"/>
        <v/>
      </c>
      <c r="B843" s="12"/>
      <c r="C843" s="13"/>
      <c r="D843" s="2"/>
      <c r="E843" s="2"/>
    </row>
    <row r="844" spans="1:5">
      <c r="A844" s="3" t="str">
        <f t="shared" si="13"/>
        <v/>
      </c>
      <c r="B844" s="14"/>
      <c r="C844" s="15"/>
      <c r="D844" s="1"/>
      <c r="E844" s="1"/>
    </row>
    <row r="845" spans="1:5">
      <c r="A845" s="4" t="str">
        <f t="shared" si="13"/>
        <v/>
      </c>
      <c r="B845" s="12"/>
      <c r="C845" s="13"/>
      <c r="D845" s="2"/>
      <c r="E845" s="2"/>
    </row>
    <row r="846" spans="1:5">
      <c r="A846" s="3" t="str">
        <f t="shared" si="13"/>
        <v/>
      </c>
      <c r="B846" s="14"/>
      <c r="C846" s="15"/>
      <c r="D846" s="1"/>
      <c r="E846" s="1"/>
    </row>
    <row r="847" spans="1:5">
      <c r="A847" s="4" t="str">
        <f t="shared" si="13"/>
        <v/>
      </c>
      <c r="B847" s="12"/>
      <c r="C847" s="13"/>
      <c r="D847" s="2"/>
      <c r="E847" s="2"/>
    </row>
    <row r="848" spans="1:5">
      <c r="A848" s="3" t="str">
        <f t="shared" si="13"/>
        <v/>
      </c>
      <c r="B848" s="14"/>
      <c r="C848" s="15"/>
      <c r="D848" s="1"/>
      <c r="E848" s="1"/>
    </row>
    <row r="849" spans="1:5">
      <c r="A849" s="4" t="str">
        <f t="shared" si="13"/>
        <v/>
      </c>
      <c r="B849" s="12"/>
      <c r="C849" s="13"/>
      <c r="D849" s="2"/>
      <c r="E849" s="2"/>
    </row>
    <row r="850" spans="1:5">
      <c r="A850" s="3" t="str">
        <f t="shared" si="13"/>
        <v/>
      </c>
      <c r="B850" s="14"/>
      <c r="C850" s="15"/>
      <c r="D850" s="1"/>
      <c r="E850" s="1"/>
    </row>
    <row r="851" spans="1:5">
      <c r="A851" s="4" t="str">
        <f t="shared" si="13"/>
        <v/>
      </c>
      <c r="B851" s="12"/>
      <c r="C851" s="13"/>
      <c r="D851" s="2"/>
      <c r="E851" s="2"/>
    </row>
    <row r="852" spans="1:5">
      <c r="A852" s="3" t="str">
        <f t="shared" si="13"/>
        <v/>
      </c>
      <c r="B852" s="14"/>
      <c r="C852" s="15"/>
      <c r="D852" s="1"/>
      <c r="E852" s="1"/>
    </row>
    <row r="853" spans="1:5">
      <c r="A853" s="4" t="str">
        <f t="shared" si="13"/>
        <v/>
      </c>
      <c r="B853" s="12"/>
      <c r="C853" s="13"/>
      <c r="D853" s="2"/>
      <c r="E853" s="2"/>
    </row>
    <row r="854" spans="1:5">
      <c r="A854" s="3" t="str">
        <f t="shared" si="13"/>
        <v/>
      </c>
      <c r="B854" s="14"/>
      <c r="C854" s="15"/>
      <c r="D854" s="1"/>
      <c r="E854" s="1"/>
    </row>
    <row r="855" spans="1:5">
      <c r="A855" s="4" t="str">
        <f t="shared" si="13"/>
        <v/>
      </c>
      <c r="B855" s="12"/>
      <c r="C855" s="13"/>
      <c r="D855" s="2"/>
      <c r="E855" s="2"/>
    </row>
    <row r="856" spans="1:5">
      <c r="A856" s="3" t="str">
        <f t="shared" si="13"/>
        <v/>
      </c>
      <c r="B856" s="14"/>
      <c r="C856" s="15"/>
      <c r="D856" s="1"/>
      <c r="E856" s="1"/>
    </row>
    <row r="857" spans="1:5">
      <c r="A857" s="4" t="str">
        <f t="shared" si="13"/>
        <v/>
      </c>
      <c r="B857" s="12"/>
      <c r="C857" s="13"/>
      <c r="D857" s="2"/>
      <c r="E857" s="2"/>
    </row>
    <row r="858" spans="1:5">
      <c r="A858" s="3" t="str">
        <f t="shared" si="13"/>
        <v/>
      </c>
      <c r="B858" s="14"/>
      <c r="C858" s="15"/>
      <c r="D858" s="1"/>
      <c r="E858" s="1"/>
    </row>
    <row r="859" spans="1:5">
      <c r="A859" s="4" t="str">
        <f t="shared" si="13"/>
        <v/>
      </c>
      <c r="B859" s="12"/>
      <c r="C859" s="13"/>
      <c r="D859" s="2"/>
      <c r="E859" s="2"/>
    </row>
    <row r="860" spans="1:5">
      <c r="A860" s="3" t="str">
        <f t="shared" si="13"/>
        <v/>
      </c>
      <c r="B860" s="14"/>
      <c r="C860" s="15"/>
      <c r="D860" s="1"/>
      <c r="E860" s="1"/>
    </row>
    <row r="861" spans="1:5">
      <c r="A861" s="4" t="str">
        <f t="shared" si="13"/>
        <v/>
      </c>
      <c r="B861" s="12"/>
      <c r="C861" s="13"/>
      <c r="D861" s="2"/>
      <c r="E861" s="2"/>
    </row>
    <row r="862" spans="1:5">
      <c r="A862" s="3" t="str">
        <f t="shared" si="13"/>
        <v/>
      </c>
      <c r="B862" s="14"/>
      <c r="C862" s="15"/>
      <c r="D862" s="1"/>
      <c r="E862" s="1"/>
    </row>
    <row r="863" spans="1:5">
      <c r="A863" s="4" t="str">
        <f t="shared" si="13"/>
        <v/>
      </c>
      <c r="B863" s="12"/>
      <c r="C863" s="13"/>
      <c r="D863" s="2"/>
      <c r="E863" s="2"/>
    </row>
    <row r="864" spans="1:5">
      <c r="A864" s="3" t="str">
        <f t="shared" si="13"/>
        <v/>
      </c>
      <c r="B864" s="14"/>
      <c r="C864" s="15"/>
      <c r="D864" s="1"/>
      <c r="E864" s="1"/>
    </row>
    <row r="865" spans="1:5">
      <c r="A865" s="4" t="str">
        <f t="shared" si="13"/>
        <v/>
      </c>
      <c r="B865" s="12"/>
      <c r="C865" s="13"/>
      <c r="D865" s="2"/>
      <c r="E865" s="2"/>
    </row>
    <row r="866" spans="1:5">
      <c r="A866" s="3" t="str">
        <f t="shared" si="13"/>
        <v/>
      </c>
      <c r="B866" s="14"/>
      <c r="C866" s="15"/>
      <c r="D866" s="1"/>
      <c r="E866" s="1"/>
    </row>
    <row r="867" spans="1:5">
      <c r="A867" s="4" t="str">
        <f t="shared" si="13"/>
        <v/>
      </c>
      <c r="B867" s="12"/>
      <c r="C867" s="13"/>
      <c r="D867" s="2"/>
      <c r="E867" s="2"/>
    </row>
    <row r="868" spans="1:5">
      <c r="A868" s="3" t="str">
        <f t="shared" si="13"/>
        <v/>
      </c>
      <c r="B868" s="14"/>
      <c r="C868" s="15"/>
      <c r="D868" s="1"/>
      <c r="E868" s="1"/>
    </row>
    <row r="869" spans="1:5">
      <c r="A869" s="4" t="str">
        <f t="shared" si="13"/>
        <v/>
      </c>
      <c r="B869" s="12"/>
      <c r="C869" s="13"/>
      <c r="D869" s="2"/>
      <c r="E869" s="2"/>
    </row>
    <row r="870" spans="1:5">
      <c r="A870" s="3" t="str">
        <f t="shared" si="13"/>
        <v/>
      </c>
      <c r="B870" s="14"/>
      <c r="C870" s="15"/>
      <c r="D870" s="1"/>
      <c r="E870" s="1"/>
    </row>
    <row r="871" spans="1:5">
      <c r="A871" s="4" t="str">
        <f t="shared" si="13"/>
        <v/>
      </c>
      <c r="B871" s="12"/>
      <c r="C871" s="13"/>
      <c r="D871" s="2"/>
      <c r="E871" s="2"/>
    </row>
    <row r="872" spans="1:5">
      <c r="A872" s="3" t="str">
        <f t="shared" si="13"/>
        <v/>
      </c>
      <c r="B872" s="14"/>
      <c r="C872" s="15"/>
      <c r="D872" s="1"/>
      <c r="E872" s="1"/>
    </row>
    <row r="873" spans="1:5">
      <c r="A873" s="4" t="str">
        <f t="shared" si="13"/>
        <v/>
      </c>
      <c r="B873" s="12"/>
      <c r="C873" s="13"/>
      <c r="D873" s="2"/>
      <c r="E873" s="2"/>
    </row>
    <row r="874" spans="1:5">
      <c r="A874" s="3" t="str">
        <f t="shared" si="13"/>
        <v/>
      </c>
      <c r="B874" s="14"/>
      <c r="C874" s="15"/>
      <c r="D874" s="1"/>
      <c r="E874" s="1"/>
    </row>
    <row r="875" spans="1:5">
      <c r="A875" s="4" t="str">
        <f t="shared" si="13"/>
        <v/>
      </c>
      <c r="B875" s="12"/>
      <c r="C875" s="13"/>
      <c r="D875" s="2"/>
      <c r="E875" s="2"/>
    </row>
    <row r="876" spans="1:5">
      <c r="A876" s="3" t="str">
        <f t="shared" si="13"/>
        <v/>
      </c>
      <c r="B876" s="14"/>
      <c r="C876" s="15"/>
      <c r="D876" s="1"/>
      <c r="E876" s="1"/>
    </row>
    <row r="877" spans="1:5">
      <c r="A877" s="4" t="str">
        <f t="shared" si="13"/>
        <v/>
      </c>
      <c r="B877" s="12"/>
      <c r="C877" s="13"/>
      <c r="D877" s="2"/>
      <c r="E877" s="2"/>
    </row>
    <row r="878" spans="1:5">
      <c r="A878" s="3" t="str">
        <f t="shared" si="13"/>
        <v/>
      </c>
      <c r="B878" s="14"/>
      <c r="C878" s="15"/>
      <c r="D878" s="1"/>
      <c r="E878" s="1"/>
    </row>
    <row r="879" spans="1:5">
      <c r="A879" s="4" t="str">
        <f t="shared" si="13"/>
        <v/>
      </c>
      <c r="B879" s="12"/>
      <c r="C879" s="13"/>
      <c r="D879" s="2"/>
      <c r="E879" s="2"/>
    </row>
    <row r="880" spans="1:5">
      <c r="A880" s="3" t="str">
        <f t="shared" si="13"/>
        <v/>
      </c>
      <c r="B880" s="14"/>
      <c r="C880" s="15"/>
      <c r="D880" s="1"/>
      <c r="E880" s="1"/>
    </row>
    <row r="881" spans="1:5">
      <c r="A881" s="4" t="str">
        <f t="shared" si="13"/>
        <v/>
      </c>
      <c r="B881" s="12"/>
      <c r="C881" s="13"/>
      <c r="D881" s="2"/>
      <c r="E881" s="2"/>
    </row>
    <row r="882" spans="1:5">
      <c r="A882" s="3" t="str">
        <f t="shared" si="13"/>
        <v/>
      </c>
      <c r="B882" s="14"/>
      <c r="C882" s="15"/>
      <c r="D882" s="1"/>
      <c r="E882" s="1"/>
    </row>
    <row r="883" spans="1:5">
      <c r="A883" s="4" t="str">
        <f t="shared" si="13"/>
        <v/>
      </c>
      <c r="B883" s="12"/>
      <c r="C883" s="13"/>
      <c r="D883" s="2"/>
      <c r="E883" s="2"/>
    </row>
    <row r="884" spans="1:5">
      <c r="A884" s="3" t="str">
        <f t="shared" si="13"/>
        <v/>
      </c>
      <c r="B884" s="14"/>
      <c r="C884" s="15"/>
      <c r="D884" s="1"/>
      <c r="E884" s="1"/>
    </row>
    <row r="885" spans="1:5">
      <c r="A885" s="4" t="str">
        <f t="shared" si="13"/>
        <v/>
      </c>
      <c r="B885" s="12"/>
      <c r="C885" s="13"/>
      <c r="D885" s="2"/>
      <c r="E885" s="2"/>
    </row>
    <row r="886" spans="1:5">
      <c r="A886" s="3" t="str">
        <f t="shared" si="13"/>
        <v/>
      </c>
      <c r="B886" s="14"/>
      <c r="C886" s="15"/>
      <c r="D886" s="1"/>
      <c r="E886" s="1"/>
    </row>
    <row r="887" spans="1:5">
      <c r="A887" s="4" t="str">
        <f t="shared" si="13"/>
        <v/>
      </c>
      <c r="B887" s="12"/>
      <c r="C887" s="13"/>
      <c r="D887" s="2"/>
      <c r="E887" s="2"/>
    </row>
    <row r="888" spans="1:5">
      <c r="A888" s="3" t="str">
        <f t="shared" si="13"/>
        <v/>
      </c>
      <c r="B888" s="14"/>
      <c r="C888" s="15"/>
      <c r="D888" s="1"/>
      <c r="E888" s="1"/>
    </row>
    <row r="889" spans="1:5">
      <c r="A889" s="4" t="str">
        <f t="shared" si="13"/>
        <v/>
      </c>
      <c r="B889" s="12"/>
      <c r="C889" s="13"/>
      <c r="D889" s="2"/>
      <c r="E889" s="2"/>
    </row>
    <row r="890" spans="1:5">
      <c r="A890" s="3" t="str">
        <f t="shared" si="13"/>
        <v/>
      </c>
      <c r="B890" s="14"/>
      <c r="C890" s="15"/>
      <c r="D890" s="1"/>
      <c r="E890" s="1"/>
    </row>
    <row r="891" spans="1:5">
      <c r="A891" s="4" t="str">
        <f t="shared" si="13"/>
        <v/>
      </c>
      <c r="B891" s="12"/>
      <c r="C891" s="13"/>
      <c r="D891" s="2"/>
      <c r="E891" s="2"/>
    </row>
    <row r="892" spans="1:5">
      <c r="A892" s="3" t="str">
        <f t="shared" si="13"/>
        <v/>
      </c>
      <c r="B892" s="14"/>
      <c r="C892" s="15"/>
      <c r="D892" s="1"/>
      <c r="E892" s="1"/>
    </row>
    <row r="893" spans="1:5">
      <c r="A893" s="4" t="str">
        <f t="shared" si="13"/>
        <v/>
      </c>
      <c r="B893" s="12"/>
      <c r="C893" s="13"/>
      <c r="D893" s="2"/>
      <c r="E893" s="2"/>
    </row>
    <row r="894" spans="1:5">
      <c r="A894" s="3" t="str">
        <f t="shared" si="13"/>
        <v/>
      </c>
      <c r="B894" s="14"/>
      <c r="C894" s="15"/>
      <c r="D894" s="1"/>
      <c r="E894" s="1"/>
    </row>
    <row r="895" spans="1:5">
      <c r="A895" s="4" t="str">
        <f t="shared" si="13"/>
        <v/>
      </c>
      <c r="B895" s="12"/>
      <c r="C895" s="13"/>
      <c r="D895" s="2"/>
      <c r="E895" s="2"/>
    </row>
    <row r="896" spans="1:5">
      <c r="A896" s="3" t="str">
        <f t="shared" si="13"/>
        <v/>
      </c>
      <c r="B896" s="14"/>
      <c r="C896" s="15"/>
      <c r="D896" s="1"/>
      <c r="E896" s="1"/>
    </row>
    <row r="897" spans="1:5">
      <c r="A897" s="4" t="str">
        <f t="shared" si="13"/>
        <v/>
      </c>
      <c r="B897" s="12"/>
      <c r="C897" s="13"/>
      <c r="D897" s="2"/>
      <c r="E897" s="2"/>
    </row>
    <row r="898" spans="1:5">
      <c r="A898" s="3" t="str">
        <f t="shared" si="13"/>
        <v/>
      </c>
      <c r="B898" s="14"/>
      <c r="C898" s="15"/>
      <c r="D898" s="1"/>
      <c r="E898" s="1"/>
    </row>
    <row r="899" spans="1:5">
      <c r="A899" s="4" t="str">
        <f t="shared" si="13"/>
        <v/>
      </c>
      <c r="B899" s="12"/>
      <c r="C899" s="13"/>
      <c r="D899" s="2"/>
      <c r="E899" s="2"/>
    </row>
    <row r="900" spans="1:5">
      <c r="A900" s="3" t="str">
        <f t="shared" si="13"/>
        <v/>
      </c>
      <c r="B900" s="14"/>
      <c r="C900" s="15"/>
      <c r="D900" s="1"/>
      <c r="E900" s="1"/>
    </row>
    <row r="901" spans="1:5">
      <c r="A901" s="4" t="str">
        <f t="shared" ref="A901:A964" si="14">IF(B901="","",ROW()-4)</f>
        <v/>
      </c>
      <c r="B901" s="12"/>
      <c r="C901" s="13"/>
      <c r="D901" s="2"/>
      <c r="E901" s="2"/>
    </row>
    <row r="902" spans="1:5">
      <c r="A902" s="3" t="str">
        <f t="shared" si="14"/>
        <v/>
      </c>
      <c r="B902" s="14"/>
      <c r="C902" s="15"/>
      <c r="D902" s="1"/>
      <c r="E902" s="1"/>
    </row>
    <row r="903" spans="1:5">
      <c r="A903" s="4" t="str">
        <f t="shared" si="14"/>
        <v/>
      </c>
      <c r="B903" s="12"/>
      <c r="C903" s="13"/>
      <c r="D903" s="2"/>
      <c r="E903" s="2"/>
    </row>
    <row r="904" spans="1:5">
      <c r="A904" s="3" t="str">
        <f t="shared" si="14"/>
        <v/>
      </c>
      <c r="B904" s="14"/>
      <c r="C904" s="15"/>
      <c r="D904" s="1"/>
      <c r="E904" s="1"/>
    </row>
    <row r="905" spans="1:5">
      <c r="A905" s="4" t="str">
        <f t="shared" si="14"/>
        <v/>
      </c>
      <c r="B905" s="12"/>
      <c r="C905" s="13"/>
      <c r="D905" s="2"/>
      <c r="E905" s="2"/>
    </row>
    <row r="906" spans="1:5">
      <c r="A906" s="3" t="str">
        <f t="shared" si="14"/>
        <v/>
      </c>
      <c r="B906" s="14"/>
      <c r="C906" s="15"/>
      <c r="D906" s="1"/>
      <c r="E906" s="1"/>
    </row>
    <row r="907" spans="1:5">
      <c r="A907" s="4" t="str">
        <f t="shared" si="14"/>
        <v/>
      </c>
      <c r="B907" s="12"/>
      <c r="C907" s="13"/>
      <c r="D907" s="2"/>
      <c r="E907" s="2"/>
    </row>
    <row r="908" spans="1:5">
      <c r="A908" s="3" t="str">
        <f t="shared" si="14"/>
        <v/>
      </c>
      <c r="B908" s="14"/>
      <c r="C908" s="15"/>
      <c r="D908" s="1"/>
      <c r="E908" s="1"/>
    </row>
    <row r="909" spans="1:5">
      <c r="A909" s="4" t="str">
        <f t="shared" si="14"/>
        <v/>
      </c>
      <c r="B909" s="12"/>
      <c r="C909" s="13"/>
      <c r="D909" s="2"/>
      <c r="E909" s="2"/>
    </row>
    <row r="910" spans="1:5">
      <c r="A910" s="3" t="str">
        <f t="shared" si="14"/>
        <v/>
      </c>
      <c r="B910" s="14"/>
      <c r="C910" s="15"/>
      <c r="D910" s="1"/>
      <c r="E910" s="1"/>
    </row>
    <row r="911" spans="1:5">
      <c r="A911" s="4" t="str">
        <f t="shared" si="14"/>
        <v/>
      </c>
      <c r="B911" s="12"/>
      <c r="C911" s="13"/>
      <c r="D911" s="2"/>
      <c r="E911" s="2"/>
    </row>
    <row r="912" spans="1:5">
      <c r="A912" s="3" t="str">
        <f t="shared" si="14"/>
        <v/>
      </c>
      <c r="B912" s="14"/>
      <c r="C912" s="15"/>
      <c r="D912" s="1"/>
      <c r="E912" s="1"/>
    </row>
    <row r="913" spans="1:5">
      <c r="A913" s="4" t="str">
        <f t="shared" si="14"/>
        <v/>
      </c>
      <c r="B913" s="12"/>
      <c r="C913" s="13"/>
      <c r="D913" s="2"/>
      <c r="E913" s="2"/>
    </row>
    <row r="914" spans="1:5">
      <c r="A914" s="3" t="str">
        <f t="shared" si="14"/>
        <v/>
      </c>
      <c r="B914" s="14"/>
      <c r="C914" s="15"/>
      <c r="D914" s="1"/>
      <c r="E914" s="1"/>
    </row>
    <row r="915" spans="1:5">
      <c r="A915" s="4" t="str">
        <f t="shared" si="14"/>
        <v/>
      </c>
      <c r="B915" s="12"/>
      <c r="C915" s="13"/>
      <c r="D915" s="2"/>
      <c r="E915" s="2"/>
    </row>
    <row r="916" spans="1:5">
      <c r="A916" s="3" t="str">
        <f t="shared" si="14"/>
        <v/>
      </c>
      <c r="B916" s="14"/>
      <c r="C916" s="15"/>
      <c r="D916" s="1"/>
      <c r="E916" s="1"/>
    </row>
    <row r="917" spans="1:5">
      <c r="A917" s="4" t="str">
        <f t="shared" si="14"/>
        <v/>
      </c>
      <c r="B917" s="12"/>
      <c r="C917" s="13"/>
      <c r="D917" s="2"/>
      <c r="E917" s="2"/>
    </row>
    <row r="918" spans="1:5">
      <c r="A918" s="3" t="str">
        <f t="shared" si="14"/>
        <v/>
      </c>
      <c r="B918" s="14"/>
      <c r="C918" s="15"/>
      <c r="D918" s="1"/>
      <c r="E918" s="1"/>
    </row>
    <row r="919" spans="1:5">
      <c r="A919" s="4" t="str">
        <f t="shared" si="14"/>
        <v/>
      </c>
      <c r="B919" s="12"/>
      <c r="C919" s="13"/>
      <c r="D919" s="2"/>
      <c r="E919" s="2"/>
    </row>
    <row r="920" spans="1:5">
      <c r="A920" s="3" t="str">
        <f t="shared" si="14"/>
        <v/>
      </c>
      <c r="B920" s="14"/>
      <c r="C920" s="15"/>
      <c r="D920" s="1"/>
      <c r="E920" s="1"/>
    </row>
    <row r="921" spans="1:5">
      <c r="A921" s="4" t="str">
        <f t="shared" si="14"/>
        <v/>
      </c>
      <c r="B921" s="12"/>
      <c r="C921" s="13"/>
      <c r="D921" s="2"/>
      <c r="E921" s="2"/>
    </row>
    <row r="922" spans="1:5">
      <c r="A922" s="3" t="str">
        <f t="shared" si="14"/>
        <v/>
      </c>
      <c r="B922" s="14"/>
      <c r="C922" s="15"/>
      <c r="D922" s="1"/>
      <c r="E922" s="1"/>
    </row>
    <row r="923" spans="1:5">
      <c r="A923" s="4" t="str">
        <f t="shared" si="14"/>
        <v/>
      </c>
      <c r="B923" s="12"/>
      <c r="C923" s="13"/>
      <c r="D923" s="2"/>
      <c r="E923" s="2"/>
    </row>
    <row r="924" spans="1:5">
      <c r="A924" s="3" t="str">
        <f t="shared" si="14"/>
        <v/>
      </c>
      <c r="B924" s="14"/>
      <c r="C924" s="15"/>
      <c r="D924" s="1"/>
      <c r="E924" s="1"/>
    </row>
    <row r="925" spans="1:5">
      <c r="A925" s="4" t="str">
        <f t="shared" si="14"/>
        <v/>
      </c>
      <c r="B925" s="12"/>
      <c r="C925" s="13"/>
      <c r="D925" s="2"/>
      <c r="E925" s="2"/>
    </row>
    <row r="926" spans="1:5">
      <c r="A926" s="3" t="str">
        <f t="shared" si="14"/>
        <v/>
      </c>
      <c r="B926" s="14"/>
      <c r="C926" s="15"/>
      <c r="D926" s="1"/>
      <c r="E926" s="1"/>
    </row>
    <row r="927" spans="1:5">
      <c r="A927" s="4" t="str">
        <f t="shared" si="14"/>
        <v/>
      </c>
      <c r="B927" s="12"/>
      <c r="C927" s="13"/>
      <c r="D927" s="2"/>
      <c r="E927" s="2"/>
    </row>
    <row r="928" spans="1:5">
      <c r="A928" s="3" t="str">
        <f t="shared" si="14"/>
        <v/>
      </c>
      <c r="B928" s="14"/>
      <c r="C928" s="15"/>
      <c r="D928" s="1"/>
      <c r="E928" s="1"/>
    </row>
    <row r="929" spans="1:5">
      <c r="A929" s="4" t="str">
        <f t="shared" si="14"/>
        <v/>
      </c>
      <c r="B929" s="12"/>
      <c r="C929" s="13"/>
      <c r="D929" s="2"/>
      <c r="E929" s="2"/>
    </row>
    <row r="930" spans="1:5">
      <c r="A930" s="3" t="str">
        <f t="shared" si="14"/>
        <v/>
      </c>
      <c r="B930" s="14"/>
      <c r="C930" s="15"/>
      <c r="D930" s="1"/>
      <c r="E930" s="1"/>
    </row>
    <row r="931" spans="1:5">
      <c r="A931" s="4" t="str">
        <f t="shared" si="14"/>
        <v/>
      </c>
      <c r="B931" s="12"/>
      <c r="C931" s="13"/>
      <c r="D931" s="2"/>
      <c r="E931" s="2"/>
    </row>
    <row r="932" spans="1:5">
      <c r="A932" s="3" t="str">
        <f t="shared" si="14"/>
        <v/>
      </c>
      <c r="B932" s="14"/>
      <c r="C932" s="15"/>
      <c r="D932" s="1"/>
      <c r="E932" s="1"/>
    </row>
    <row r="933" spans="1:5">
      <c r="A933" s="4" t="str">
        <f t="shared" si="14"/>
        <v/>
      </c>
      <c r="B933" s="12"/>
      <c r="C933" s="13"/>
      <c r="D933" s="2"/>
      <c r="E933" s="2"/>
    </row>
    <row r="934" spans="1:5">
      <c r="A934" s="3" t="str">
        <f t="shared" si="14"/>
        <v/>
      </c>
      <c r="B934" s="14"/>
      <c r="C934" s="15"/>
      <c r="D934" s="1"/>
      <c r="E934" s="1"/>
    </row>
    <row r="935" spans="1:5">
      <c r="A935" s="4" t="str">
        <f t="shared" si="14"/>
        <v/>
      </c>
      <c r="B935" s="12"/>
      <c r="C935" s="13"/>
      <c r="D935" s="2"/>
      <c r="E935" s="2"/>
    </row>
    <row r="936" spans="1:5">
      <c r="A936" s="3" t="str">
        <f t="shared" si="14"/>
        <v/>
      </c>
      <c r="B936" s="14"/>
      <c r="C936" s="15"/>
      <c r="D936" s="1"/>
      <c r="E936" s="1"/>
    </row>
    <row r="937" spans="1:5">
      <c r="A937" s="4" t="str">
        <f t="shared" si="14"/>
        <v/>
      </c>
      <c r="B937" s="12"/>
      <c r="C937" s="13"/>
      <c r="D937" s="2"/>
      <c r="E937" s="2"/>
    </row>
    <row r="938" spans="1:5">
      <c r="A938" s="3" t="str">
        <f t="shared" si="14"/>
        <v/>
      </c>
      <c r="B938" s="14"/>
      <c r="C938" s="15"/>
      <c r="D938" s="1"/>
      <c r="E938" s="1"/>
    </row>
    <row r="939" spans="1:5">
      <c r="A939" s="4" t="str">
        <f t="shared" si="14"/>
        <v/>
      </c>
      <c r="B939" s="12"/>
      <c r="C939" s="13"/>
      <c r="D939" s="2"/>
      <c r="E939" s="2"/>
    </row>
    <row r="940" spans="1:5">
      <c r="A940" s="3" t="str">
        <f t="shared" si="14"/>
        <v/>
      </c>
      <c r="B940" s="14"/>
      <c r="C940" s="15"/>
      <c r="D940" s="1"/>
      <c r="E940" s="1"/>
    </row>
    <row r="941" spans="1:5">
      <c r="A941" s="4" t="str">
        <f t="shared" si="14"/>
        <v/>
      </c>
      <c r="B941" s="12"/>
      <c r="C941" s="13"/>
      <c r="D941" s="2"/>
      <c r="E941" s="2"/>
    </row>
    <row r="942" spans="1:5">
      <c r="A942" s="3" t="str">
        <f t="shared" si="14"/>
        <v/>
      </c>
      <c r="B942" s="14"/>
      <c r="C942" s="15"/>
      <c r="D942" s="1"/>
      <c r="E942" s="1"/>
    </row>
    <row r="943" spans="1:5">
      <c r="A943" s="4" t="str">
        <f t="shared" si="14"/>
        <v/>
      </c>
      <c r="B943" s="12"/>
      <c r="C943" s="13"/>
      <c r="D943" s="2"/>
      <c r="E943" s="2"/>
    </row>
    <row r="944" spans="1:5">
      <c r="A944" s="3" t="str">
        <f t="shared" si="14"/>
        <v/>
      </c>
      <c r="B944" s="14"/>
      <c r="C944" s="15"/>
      <c r="D944" s="1"/>
      <c r="E944" s="1"/>
    </row>
    <row r="945" spans="1:5">
      <c r="A945" s="4" t="str">
        <f t="shared" si="14"/>
        <v/>
      </c>
      <c r="B945" s="12"/>
      <c r="C945" s="13"/>
      <c r="D945" s="2"/>
      <c r="E945" s="2"/>
    </row>
    <row r="946" spans="1:5">
      <c r="A946" s="3" t="str">
        <f t="shared" si="14"/>
        <v/>
      </c>
      <c r="B946" s="14"/>
      <c r="C946" s="15"/>
      <c r="D946" s="1"/>
      <c r="E946" s="1"/>
    </row>
    <row r="947" spans="1:5">
      <c r="A947" s="4" t="str">
        <f t="shared" si="14"/>
        <v/>
      </c>
      <c r="B947" s="12"/>
      <c r="C947" s="13"/>
      <c r="D947" s="2"/>
      <c r="E947" s="2"/>
    </row>
    <row r="948" spans="1:5">
      <c r="A948" s="3" t="str">
        <f t="shared" si="14"/>
        <v/>
      </c>
      <c r="B948" s="14"/>
      <c r="C948" s="15"/>
      <c r="D948" s="1"/>
      <c r="E948" s="1"/>
    </row>
    <row r="949" spans="1:5">
      <c r="A949" s="4" t="str">
        <f t="shared" si="14"/>
        <v/>
      </c>
      <c r="B949" s="12"/>
      <c r="C949" s="13"/>
      <c r="D949" s="2"/>
      <c r="E949" s="2"/>
    </row>
    <row r="950" spans="1:5">
      <c r="A950" s="3" t="str">
        <f t="shared" si="14"/>
        <v/>
      </c>
      <c r="B950" s="14"/>
      <c r="C950" s="15"/>
      <c r="D950" s="1"/>
      <c r="E950" s="1"/>
    </row>
    <row r="951" spans="1:5">
      <c r="A951" s="4" t="str">
        <f t="shared" si="14"/>
        <v/>
      </c>
      <c r="B951" s="12"/>
      <c r="C951" s="13"/>
      <c r="D951" s="2"/>
      <c r="E951" s="2"/>
    </row>
    <row r="952" spans="1:5">
      <c r="A952" s="3" t="str">
        <f t="shared" si="14"/>
        <v/>
      </c>
      <c r="B952" s="14"/>
      <c r="C952" s="15"/>
      <c r="D952" s="1"/>
      <c r="E952" s="1"/>
    </row>
    <row r="953" spans="1:5">
      <c r="A953" s="4" t="str">
        <f t="shared" si="14"/>
        <v/>
      </c>
      <c r="B953" s="12"/>
      <c r="C953" s="13"/>
      <c r="D953" s="2"/>
      <c r="E953" s="2"/>
    </row>
    <row r="954" spans="1:5">
      <c r="A954" s="3" t="str">
        <f t="shared" si="14"/>
        <v/>
      </c>
      <c r="B954" s="14"/>
      <c r="C954" s="15"/>
      <c r="D954" s="1"/>
      <c r="E954" s="1"/>
    </row>
    <row r="955" spans="1:5">
      <c r="A955" s="4" t="str">
        <f t="shared" si="14"/>
        <v/>
      </c>
      <c r="B955" s="12"/>
      <c r="C955" s="13"/>
      <c r="D955" s="2"/>
      <c r="E955" s="2"/>
    </row>
    <row r="956" spans="1:5">
      <c r="A956" s="3" t="str">
        <f t="shared" si="14"/>
        <v/>
      </c>
      <c r="B956" s="14"/>
      <c r="C956" s="15"/>
      <c r="D956" s="1"/>
      <c r="E956" s="1"/>
    </row>
    <row r="957" spans="1:5">
      <c r="A957" s="4" t="str">
        <f t="shared" si="14"/>
        <v/>
      </c>
      <c r="B957" s="12"/>
      <c r="C957" s="13"/>
      <c r="D957" s="2"/>
      <c r="E957" s="2"/>
    </row>
    <row r="958" spans="1:5">
      <c r="A958" s="3" t="str">
        <f t="shared" si="14"/>
        <v/>
      </c>
      <c r="B958" s="14"/>
      <c r="C958" s="15"/>
      <c r="D958" s="1"/>
      <c r="E958" s="1"/>
    </row>
    <row r="959" spans="1:5">
      <c r="A959" s="4" t="str">
        <f t="shared" si="14"/>
        <v/>
      </c>
      <c r="B959" s="12"/>
      <c r="C959" s="13"/>
      <c r="D959" s="2"/>
      <c r="E959" s="2"/>
    </row>
    <row r="960" spans="1:5">
      <c r="A960" s="3" t="str">
        <f t="shared" si="14"/>
        <v/>
      </c>
      <c r="B960" s="14"/>
      <c r="C960" s="15"/>
      <c r="D960" s="1"/>
      <c r="E960" s="1"/>
    </row>
    <row r="961" spans="1:5">
      <c r="A961" s="4" t="str">
        <f t="shared" si="14"/>
        <v/>
      </c>
      <c r="B961" s="12"/>
      <c r="C961" s="13"/>
      <c r="D961" s="2"/>
      <c r="E961" s="2"/>
    </row>
    <row r="962" spans="1:5">
      <c r="A962" s="3" t="str">
        <f t="shared" si="14"/>
        <v/>
      </c>
      <c r="B962" s="14"/>
      <c r="C962" s="15"/>
      <c r="D962" s="1"/>
      <c r="E962" s="1"/>
    </row>
    <row r="963" spans="1:5">
      <c r="A963" s="4" t="str">
        <f t="shared" si="14"/>
        <v/>
      </c>
      <c r="B963" s="12"/>
      <c r="C963" s="13"/>
      <c r="D963" s="2"/>
      <c r="E963" s="2"/>
    </row>
    <row r="964" spans="1:5">
      <c r="A964" s="3" t="str">
        <f t="shared" si="14"/>
        <v/>
      </c>
      <c r="B964" s="14"/>
      <c r="C964" s="15"/>
      <c r="D964" s="1"/>
      <c r="E964" s="1"/>
    </row>
    <row r="965" spans="1:5">
      <c r="A965" s="4" t="str">
        <f t="shared" ref="A965:A1003" si="15">IF(B965="","",ROW()-4)</f>
        <v/>
      </c>
      <c r="B965" s="12"/>
      <c r="C965" s="13"/>
      <c r="D965" s="2"/>
      <c r="E965" s="2"/>
    </row>
    <row r="966" spans="1:5">
      <c r="A966" s="3" t="str">
        <f t="shared" si="15"/>
        <v/>
      </c>
      <c r="B966" s="14"/>
      <c r="C966" s="15"/>
      <c r="D966" s="1"/>
      <c r="E966" s="1"/>
    </row>
    <row r="967" spans="1:5">
      <c r="A967" s="4" t="str">
        <f t="shared" si="15"/>
        <v/>
      </c>
      <c r="B967" s="12"/>
      <c r="C967" s="13"/>
      <c r="D967" s="2"/>
      <c r="E967" s="2"/>
    </row>
    <row r="968" spans="1:5">
      <c r="A968" s="3" t="str">
        <f t="shared" si="15"/>
        <v/>
      </c>
      <c r="B968" s="14"/>
      <c r="C968" s="15"/>
      <c r="D968" s="1"/>
      <c r="E968" s="1"/>
    </row>
    <row r="969" spans="1:5">
      <c r="A969" s="4" t="str">
        <f t="shared" si="15"/>
        <v/>
      </c>
      <c r="B969" s="12"/>
      <c r="C969" s="13"/>
      <c r="D969" s="2"/>
      <c r="E969" s="2"/>
    </row>
    <row r="970" spans="1:5">
      <c r="A970" s="3" t="str">
        <f t="shared" si="15"/>
        <v/>
      </c>
      <c r="B970" s="14"/>
      <c r="C970" s="15"/>
      <c r="D970" s="1"/>
      <c r="E970" s="1"/>
    </row>
    <row r="971" spans="1:5">
      <c r="A971" s="4" t="str">
        <f t="shared" si="15"/>
        <v/>
      </c>
      <c r="B971" s="12"/>
      <c r="C971" s="13"/>
      <c r="D971" s="2"/>
      <c r="E971" s="2"/>
    </row>
    <row r="972" spans="1:5">
      <c r="A972" s="3" t="str">
        <f t="shared" si="15"/>
        <v/>
      </c>
      <c r="B972" s="14"/>
      <c r="C972" s="15"/>
      <c r="D972" s="1"/>
      <c r="E972" s="1"/>
    </row>
    <row r="973" spans="1:5">
      <c r="A973" s="4" t="str">
        <f t="shared" si="15"/>
        <v/>
      </c>
      <c r="B973" s="12"/>
      <c r="C973" s="13"/>
      <c r="D973" s="2"/>
      <c r="E973" s="2"/>
    </row>
    <row r="974" spans="1:5">
      <c r="A974" s="3" t="str">
        <f t="shared" si="15"/>
        <v/>
      </c>
      <c r="B974" s="14"/>
      <c r="C974" s="15"/>
      <c r="D974" s="1"/>
      <c r="E974" s="1"/>
    </row>
    <row r="975" spans="1:5">
      <c r="A975" s="4" t="str">
        <f t="shared" si="15"/>
        <v/>
      </c>
      <c r="B975" s="12"/>
      <c r="C975" s="13"/>
      <c r="D975" s="2"/>
      <c r="E975" s="2"/>
    </row>
    <row r="976" spans="1:5">
      <c r="A976" s="3" t="str">
        <f t="shared" si="15"/>
        <v/>
      </c>
      <c r="B976" s="14"/>
      <c r="C976" s="15"/>
      <c r="D976" s="1"/>
      <c r="E976" s="1"/>
    </row>
    <row r="977" spans="1:5">
      <c r="A977" s="4" t="str">
        <f t="shared" si="15"/>
        <v/>
      </c>
      <c r="B977" s="12"/>
      <c r="C977" s="13"/>
      <c r="D977" s="2"/>
      <c r="E977" s="2"/>
    </row>
    <row r="978" spans="1:5">
      <c r="A978" s="3" t="str">
        <f t="shared" si="15"/>
        <v/>
      </c>
      <c r="B978" s="14"/>
      <c r="C978" s="15"/>
      <c r="D978" s="1"/>
      <c r="E978" s="1"/>
    </row>
    <row r="979" spans="1:5">
      <c r="A979" s="4" t="str">
        <f t="shared" si="15"/>
        <v/>
      </c>
      <c r="B979" s="12"/>
      <c r="C979" s="13"/>
      <c r="D979" s="2"/>
      <c r="E979" s="2"/>
    </row>
    <row r="980" spans="1:5">
      <c r="A980" s="3" t="str">
        <f t="shared" si="15"/>
        <v/>
      </c>
      <c r="B980" s="14"/>
      <c r="C980" s="15"/>
      <c r="D980" s="1"/>
      <c r="E980" s="1"/>
    </row>
    <row r="981" spans="1:5">
      <c r="A981" s="4" t="str">
        <f t="shared" si="15"/>
        <v/>
      </c>
      <c r="B981" s="12"/>
      <c r="C981" s="13"/>
      <c r="D981" s="2"/>
      <c r="E981" s="2"/>
    </row>
    <row r="982" spans="1:5">
      <c r="A982" s="3" t="str">
        <f t="shared" si="15"/>
        <v/>
      </c>
      <c r="B982" s="14"/>
      <c r="C982" s="15"/>
      <c r="D982" s="1"/>
      <c r="E982" s="1"/>
    </row>
    <row r="983" spans="1:5">
      <c r="A983" s="4" t="str">
        <f t="shared" si="15"/>
        <v/>
      </c>
      <c r="B983" s="12"/>
      <c r="C983" s="13"/>
      <c r="D983" s="2"/>
      <c r="E983" s="2"/>
    </row>
    <row r="984" spans="1:5">
      <c r="A984" s="3" t="str">
        <f t="shared" si="15"/>
        <v/>
      </c>
      <c r="B984" s="14"/>
      <c r="C984" s="15"/>
      <c r="D984" s="1"/>
      <c r="E984" s="1"/>
    </row>
    <row r="985" spans="1:5">
      <c r="A985" s="4" t="str">
        <f t="shared" si="15"/>
        <v/>
      </c>
      <c r="B985" s="12"/>
      <c r="C985" s="13"/>
      <c r="D985" s="2"/>
      <c r="E985" s="2"/>
    </row>
    <row r="986" spans="1:5">
      <c r="A986" s="3" t="str">
        <f t="shared" si="15"/>
        <v/>
      </c>
      <c r="B986" s="14"/>
      <c r="C986" s="15"/>
      <c r="D986" s="1"/>
      <c r="E986" s="1"/>
    </row>
    <row r="987" spans="1:5">
      <c r="A987" s="4" t="str">
        <f t="shared" si="15"/>
        <v/>
      </c>
      <c r="B987" s="12"/>
      <c r="C987" s="13"/>
      <c r="D987" s="2"/>
      <c r="E987" s="2"/>
    </row>
    <row r="988" spans="1:5">
      <c r="A988" s="3" t="str">
        <f t="shared" si="15"/>
        <v/>
      </c>
      <c r="B988" s="14"/>
      <c r="C988" s="15"/>
      <c r="D988" s="1"/>
      <c r="E988" s="1"/>
    </row>
    <row r="989" spans="1:5">
      <c r="A989" s="4" t="str">
        <f t="shared" si="15"/>
        <v/>
      </c>
      <c r="B989" s="12"/>
      <c r="C989" s="13"/>
      <c r="D989" s="2"/>
      <c r="E989" s="2"/>
    </row>
    <row r="990" spans="1:5">
      <c r="A990" s="3" t="str">
        <f t="shared" si="15"/>
        <v/>
      </c>
      <c r="B990" s="14"/>
      <c r="C990" s="15"/>
      <c r="D990" s="1"/>
      <c r="E990" s="1"/>
    </row>
    <row r="991" spans="1:5">
      <c r="A991" s="4" t="str">
        <f t="shared" si="15"/>
        <v/>
      </c>
      <c r="B991" s="12"/>
      <c r="C991" s="13"/>
      <c r="D991" s="2"/>
      <c r="E991" s="2"/>
    </row>
    <row r="992" spans="1:5">
      <c r="A992" s="3" t="str">
        <f t="shared" si="15"/>
        <v/>
      </c>
      <c r="B992" s="14"/>
      <c r="C992" s="15"/>
      <c r="D992" s="1"/>
      <c r="E992" s="1"/>
    </row>
    <row r="993" spans="1:5">
      <c r="A993" s="4" t="str">
        <f t="shared" si="15"/>
        <v/>
      </c>
      <c r="B993" s="12"/>
      <c r="C993" s="13"/>
      <c r="D993" s="2"/>
      <c r="E993" s="2"/>
    </row>
    <row r="994" spans="1:5">
      <c r="A994" s="3" t="str">
        <f t="shared" si="15"/>
        <v/>
      </c>
      <c r="B994" s="14"/>
      <c r="C994" s="15"/>
      <c r="D994" s="1"/>
      <c r="E994" s="1"/>
    </row>
    <row r="995" spans="1:5">
      <c r="A995" s="4" t="str">
        <f t="shared" si="15"/>
        <v/>
      </c>
      <c r="B995" s="12"/>
      <c r="C995" s="13"/>
      <c r="D995" s="2"/>
      <c r="E995" s="2"/>
    </row>
    <row r="996" spans="1:5">
      <c r="A996" s="3" t="str">
        <f t="shared" si="15"/>
        <v/>
      </c>
      <c r="B996" s="14"/>
      <c r="C996" s="15"/>
      <c r="D996" s="1"/>
      <c r="E996" s="1"/>
    </row>
    <row r="997" spans="1:5">
      <c r="A997" s="4" t="str">
        <f t="shared" si="15"/>
        <v/>
      </c>
      <c r="B997" s="12"/>
      <c r="C997" s="13"/>
      <c r="D997" s="2"/>
      <c r="E997" s="2"/>
    </row>
    <row r="998" spans="1:5">
      <c r="A998" s="3" t="str">
        <f t="shared" si="15"/>
        <v/>
      </c>
      <c r="B998" s="14"/>
      <c r="C998" s="15"/>
      <c r="D998" s="1"/>
      <c r="E998" s="1"/>
    </row>
    <row r="999" spans="1:5">
      <c r="A999" s="4" t="str">
        <f t="shared" si="15"/>
        <v/>
      </c>
      <c r="B999" s="12"/>
      <c r="C999" s="13"/>
      <c r="D999" s="2"/>
      <c r="E999" s="2"/>
    </row>
    <row r="1000" spans="1:5">
      <c r="A1000" s="3" t="str">
        <f t="shared" si="15"/>
        <v/>
      </c>
      <c r="B1000" s="14"/>
      <c r="C1000" s="15"/>
      <c r="D1000" s="1"/>
      <c r="E1000" s="1"/>
    </row>
    <row r="1001" spans="1:5">
      <c r="A1001" s="4" t="str">
        <f t="shared" si="15"/>
        <v/>
      </c>
      <c r="B1001" s="12"/>
      <c r="C1001" s="13"/>
      <c r="D1001" s="2"/>
      <c r="E1001" s="2"/>
    </row>
    <row r="1002" spans="1:5">
      <c r="A1002" s="3" t="str">
        <f t="shared" si="15"/>
        <v/>
      </c>
      <c r="B1002" s="14"/>
      <c r="C1002" s="15"/>
      <c r="D1002" s="1"/>
      <c r="E1002" s="1"/>
    </row>
    <row r="1003" spans="1:5">
      <c r="A1003" s="4" t="str">
        <f t="shared" si="15"/>
        <v/>
      </c>
      <c r="B1003" s="12"/>
      <c r="C1003" s="13"/>
      <c r="D1003" s="2"/>
      <c r="E1003" s="2"/>
    </row>
  </sheetData>
  <autoFilter ref="A4:E1003" xr:uid="{00000000-0009-0000-0000-000002000000}"/>
  <mergeCells count="2">
    <mergeCell ref="A2:F2"/>
    <mergeCell ref="A1:F1"/>
  </mergeCells>
  <dataValidations count="1">
    <dataValidation type="list" allowBlank="1" sqref="D5:D1003" xr:uid="{00000000-0002-0000-0200-000000000000}">
      <formula1>"ALL"</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502"/>
  <sheetViews>
    <sheetView showGridLines="0" workbookViewId="0">
      <pane ySplit="4" topLeftCell="A5" activePane="bottomLeft" state="frozen"/>
      <selection pane="bottomLeft" activeCell="E22" sqref="E22"/>
    </sheetView>
  </sheetViews>
  <sheetFormatPr defaultRowHeight="15"/>
  <cols>
    <col min="1" max="1" width="23" customWidth="1"/>
    <col min="2" max="2" width="20" customWidth="1"/>
    <col min="3" max="3" width="34" customWidth="1"/>
    <col min="4" max="4" width="44" customWidth="1"/>
    <col min="5" max="5" width="45" customWidth="1"/>
    <col min="6" max="6" width="38" customWidth="1"/>
    <col min="7" max="7" width="27" customWidth="1"/>
    <col min="8" max="8" width="20" customWidth="1"/>
    <col min="9" max="9" width="34" customWidth="1"/>
  </cols>
  <sheetData>
    <row r="1" spans="1:8" ht="30" customHeight="1">
      <c r="A1" s="18" t="s">
        <v>59</v>
      </c>
      <c r="B1" s="17"/>
      <c r="C1" s="17"/>
      <c r="D1" s="17"/>
      <c r="E1" s="17"/>
      <c r="F1" s="17"/>
      <c r="G1" s="17"/>
      <c r="H1" s="17"/>
    </row>
    <row r="2" spans="1:8" ht="33.950000000000003" customHeight="1">
      <c r="A2" s="16" t="s">
        <v>60</v>
      </c>
      <c r="B2" s="17"/>
      <c r="C2" s="17"/>
      <c r="D2" s="17"/>
      <c r="E2" s="17"/>
      <c r="F2" s="17"/>
      <c r="G2" s="17"/>
      <c r="H2" s="17"/>
    </row>
    <row r="4" spans="1:8" ht="33.950000000000003" customHeight="1">
      <c r="A4" s="5" t="s">
        <v>54</v>
      </c>
      <c r="B4" s="5" t="s">
        <v>55</v>
      </c>
      <c r="C4" s="5" t="s">
        <v>61</v>
      </c>
      <c r="D4" s="5" t="s">
        <v>62</v>
      </c>
      <c r="E4" s="5" t="s">
        <v>63</v>
      </c>
      <c r="F4" s="5" t="s">
        <v>12</v>
      </c>
      <c r="G4" s="5" t="s">
        <v>64</v>
      </c>
      <c r="H4" s="5" t="s">
        <v>57</v>
      </c>
    </row>
    <row r="5" spans="1:8">
      <c r="A5" s="3">
        <v>1</v>
      </c>
      <c r="B5" s="14">
        <v>46307</v>
      </c>
      <c r="C5" s="15">
        <v>5000</v>
      </c>
      <c r="D5" s="15">
        <v>5400</v>
      </c>
      <c r="E5" s="15">
        <v>5400</v>
      </c>
      <c r="F5" s="1" t="s">
        <v>45</v>
      </c>
      <c r="G5" s="1" t="str">
        <f t="shared" ref="G5:G68" si="0">IF(B5="","","UNPAID")</f>
        <v>UNPAID</v>
      </c>
      <c r="H5" s="1"/>
    </row>
    <row r="6" spans="1:8">
      <c r="A6" s="4">
        <v>2</v>
      </c>
      <c r="B6" s="14">
        <v>46307</v>
      </c>
      <c r="C6" s="13">
        <v>4000</v>
      </c>
      <c r="D6" s="13">
        <v>4300</v>
      </c>
      <c r="E6" s="13">
        <v>4300</v>
      </c>
      <c r="F6" s="2" t="s">
        <v>31</v>
      </c>
      <c r="G6" s="2" t="str">
        <f t="shared" si="0"/>
        <v>UNPAID</v>
      </c>
      <c r="H6" s="2"/>
    </row>
    <row r="7" spans="1:8">
      <c r="A7" s="3" t="str">
        <f t="shared" ref="A7:A68" si="1">IF(B7="","",ROW()-4)</f>
        <v/>
      </c>
      <c r="B7" s="14"/>
      <c r="C7" s="15"/>
      <c r="D7" s="15"/>
      <c r="E7" s="15"/>
      <c r="F7" s="1"/>
      <c r="G7" s="1" t="str">
        <f t="shared" si="0"/>
        <v/>
      </c>
      <c r="H7" s="1"/>
    </row>
    <row r="8" spans="1:8">
      <c r="A8" s="4" t="str">
        <f t="shared" si="1"/>
        <v/>
      </c>
      <c r="B8" s="12"/>
      <c r="C8" s="13"/>
      <c r="D8" s="13"/>
      <c r="E8" s="13"/>
      <c r="F8" s="2"/>
      <c r="G8" s="2" t="str">
        <f t="shared" si="0"/>
        <v/>
      </c>
      <c r="H8" s="2"/>
    </row>
    <row r="9" spans="1:8">
      <c r="A9" s="3" t="str">
        <f t="shared" si="1"/>
        <v/>
      </c>
      <c r="B9" s="14"/>
      <c r="C9" s="15"/>
      <c r="D9" s="15"/>
      <c r="E9" s="15"/>
      <c r="F9" s="1"/>
      <c r="G9" s="1" t="str">
        <f t="shared" si="0"/>
        <v/>
      </c>
      <c r="H9" s="1"/>
    </row>
    <row r="10" spans="1:8">
      <c r="A10" s="4" t="str">
        <f t="shared" si="1"/>
        <v/>
      </c>
      <c r="B10" s="12"/>
      <c r="C10" s="13"/>
      <c r="D10" s="13"/>
      <c r="E10" s="13"/>
      <c r="F10" s="2"/>
      <c r="G10" s="2" t="str">
        <f t="shared" si="0"/>
        <v/>
      </c>
      <c r="H10" s="2"/>
    </row>
    <row r="11" spans="1:8">
      <c r="A11" s="3" t="str">
        <f t="shared" si="1"/>
        <v/>
      </c>
      <c r="B11" s="14"/>
      <c r="C11" s="15"/>
      <c r="D11" s="15"/>
      <c r="E11" s="15"/>
      <c r="F11" s="1"/>
      <c r="G11" s="1" t="str">
        <f t="shared" si="0"/>
        <v/>
      </c>
      <c r="H11" s="1"/>
    </row>
    <row r="12" spans="1:8">
      <c r="A12" s="4" t="str">
        <f t="shared" si="1"/>
        <v/>
      </c>
      <c r="B12" s="12"/>
      <c r="C12" s="13"/>
      <c r="D12" s="13"/>
      <c r="E12" s="13"/>
      <c r="F12" s="2"/>
      <c r="G12" s="2" t="str">
        <f t="shared" si="0"/>
        <v/>
      </c>
      <c r="H12" s="2"/>
    </row>
    <row r="13" spans="1:8">
      <c r="A13" s="3" t="str">
        <f t="shared" si="1"/>
        <v/>
      </c>
      <c r="B13" s="14"/>
      <c r="C13" s="15"/>
      <c r="D13" s="15"/>
      <c r="E13" s="15"/>
      <c r="F13" s="1"/>
      <c r="G13" s="1" t="str">
        <f t="shared" si="0"/>
        <v/>
      </c>
      <c r="H13" s="1"/>
    </row>
    <row r="14" spans="1:8">
      <c r="A14" s="4" t="str">
        <f t="shared" si="1"/>
        <v/>
      </c>
      <c r="B14" s="12"/>
      <c r="C14" s="13"/>
      <c r="D14" s="13"/>
      <c r="E14" s="13"/>
      <c r="F14" s="2"/>
      <c r="G14" s="2" t="str">
        <f t="shared" si="0"/>
        <v/>
      </c>
      <c r="H14" s="2"/>
    </row>
    <row r="15" spans="1:8">
      <c r="A15" s="3" t="str">
        <f t="shared" si="1"/>
        <v/>
      </c>
      <c r="B15" s="14"/>
      <c r="C15" s="15"/>
      <c r="D15" s="15"/>
      <c r="E15" s="15"/>
      <c r="F15" s="1"/>
      <c r="G15" s="1" t="str">
        <f t="shared" si="0"/>
        <v/>
      </c>
      <c r="H15" s="1"/>
    </row>
    <row r="16" spans="1:8">
      <c r="A16" s="4" t="str">
        <f t="shared" si="1"/>
        <v/>
      </c>
      <c r="B16" s="12"/>
      <c r="C16" s="13"/>
      <c r="D16" s="13"/>
      <c r="E16" s="13"/>
      <c r="F16" s="2"/>
      <c r="G16" s="2" t="str">
        <f t="shared" si="0"/>
        <v/>
      </c>
      <c r="H16" s="2"/>
    </row>
    <row r="17" spans="1:8">
      <c r="A17" s="3" t="str">
        <f t="shared" si="1"/>
        <v/>
      </c>
      <c r="B17" s="14"/>
      <c r="C17" s="15"/>
      <c r="D17" s="15"/>
      <c r="E17" s="15"/>
      <c r="F17" s="1"/>
      <c r="G17" s="1" t="str">
        <f t="shared" si="0"/>
        <v/>
      </c>
      <c r="H17" s="1"/>
    </row>
    <row r="18" spans="1:8">
      <c r="A18" s="4" t="str">
        <f t="shared" si="1"/>
        <v/>
      </c>
      <c r="B18" s="12"/>
      <c r="C18" s="13"/>
      <c r="D18" s="13"/>
      <c r="E18" s="13"/>
      <c r="F18" s="2"/>
      <c r="G18" s="2" t="str">
        <f t="shared" si="0"/>
        <v/>
      </c>
      <c r="H18" s="2"/>
    </row>
    <row r="19" spans="1:8">
      <c r="A19" s="3" t="str">
        <f t="shared" si="1"/>
        <v/>
      </c>
      <c r="B19" s="14"/>
      <c r="C19" s="15"/>
      <c r="D19" s="15"/>
      <c r="E19" s="15"/>
      <c r="F19" s="1"/>
      <c r="G19" s="1" t="str">
        <f t="shared" si="0"/>
        <v/>
      </c>
      <c r="H19" s="1"/>
    </row>
    <row r="20" spans="1:8">
      <c r="A20" s="4" t="str">
        <f t="shared" si="1"/>
        <v/>
      </c>
      <c r="B20" s="12"/>
      <c r="C20" s="13"/>
      <c r="D20" s="13"/>
      <c r="E20" s="13"/>
      <c r="F20" s="2"/>
      <c r="G20" s="2" t="str">
        <f t="shared" si="0"/>
        <v/>
      </c>
      <c r="H20" s="2"/>
    </row>
    <row r="21" spans="1:8">
      <c r="A21" s="3" t="str">
        <f t="shared" si="1"/>
        <v/>
      </c>
      <c r="B21" s="14"/>
      <c r="C21" s="15"/>
      <c r="D21" s="15"/>
      <c r="E21" s="15"/>
      <c r="F21" s="1"/>
      <c r="G21" s="1" t="str">
        <f t="shared" si="0"/>
        <v/>
      </c>
      <c r="H21" s="1"/>
    </row>
    <row r="22" spans="1:8">
      <c r="A22" s="4" t="str">
        <f t="shared" si="1"/>
        <v/>
      </c>
      <c r="B22" s="12"/>
      <c r="C22" s="13"/>
      <c r="D22" s="13"/>
      <c r="E22" s="13"/>
      <c r="F22" s="2"/>
      <c r="G22" s="2" t="str">
        <f t="shared" si="0"/>
        <v/>
      </c>
      <c r="H22" s="2"/>
    </row>
    <row r="23" spans="1:8">
      <c r="A23" s="3" t="str">
        <f t="shared" si="1"/>
        <v/>
      </c>
      <c r="B23" s="14"/>
      <c r="C23" s="15"/>
      <c r="D23" s="15"/>
      <c r="E23" s="15"/>
      <c r="F23" s="1"/>
      <c r="G23" s="1" t="str">
        <f t="shared" si="0"/>
        <v/>
      </c>
      <c r="H23" s="1"/>
    </row>
    <row r="24" spans="1:8">
      <c r="A24" s="4" t="str">
        <f t="shared" si="1"/>
        <v/>
      </c>
      <c r="B24" s="12"/>
      <c r="C24" s="13"/>
      <c r="D24" s="13"/>
      <c r="E24" s="13"/>
      <c r="F24" s="2"/>
      <c r="G24" s="2" t="str">
        <f t="shared" si="0"/>
        <v/>
      </c>
      <c r="H24" s="2"/>
    </row>
    <row r="25" spans="1:8">
      <c r="A25" s="3" t="str">
        <f t="shared" si="1"/>
        <v/>
      </c>
      <c r="B25" s="14"/>
      <c r="C25" s="15"/>
      <c r="D25" s="15"/>
      <c r="E25" s="15"/>
      <c r="F25" s="1"/>
      <c r="G25" s="1" t="str">
        <f t="shared" si="0"/>
        <v/>
      </c>
      <c r="H25" s="1"/>
    </row>
    <row r="26" spans="1:8">
      <c r="A26" s="4" t="str">
        <f t="shared" si="1"/>
        <v/>
      </c>
      <c r="B26" s="12"/>
      <c r="C26" s="13"/>
      <c r="D26" s="13"/>
      <c r="E26" s="13"/>
      <c r="F26" s="2"/>
      <c r="G26" s="2" t="str">
        <f t="shared" si="0"/>
        <v/>
      </c>
      <c r="H26" s="2"/>
    </row>
    <row r="27" spans="1:8">
      <c r="A27" s="3" t="str">
        <f t="shared" si="1"/>
        <v/>
      </c>
      <c r="B27" s="14"/>
      <c r="C27" s="15"/>
      <c r="D27" s="15"/>
      <c r="E27" s="15"/>
      <c r="F27" s="1"/>
      <c r="G27" s="1" t="str">
        <f t="shared" si="0"/>
        <v/>
      </c>
      <c r="H27" s="1"/>
    </row>
    <row r="28" spans="1:8">
      <c r="A28" s="4" t="str">
        <f t="shared" si="1"/>
        <v/>
      </c>
      <c r="B28" s="12"/>
      <c r="C28" s="13"/>
      <c r="D28" s="13"/>
      <c r="E28" s="13"/>
      <c r="F28" s="2"/>
      <c r="G28" s="2" t="str">
        <f t="shared" si="0"/>
        <v/>
      </c>
      <c r="H28" s="2"/>
    </row>
    <row r="29" spans="1:8">
      <c r="A29" s="3" t="str">
        <f t="shared" si="1"/>
        <v/>
      </c>
      <c r="B29" s="14"/>
      <c r="C29" s="15"/>
      <c r="D29" s="15"/>
      <c r="E29" s="15"/>
      <c r="F29" s="1"/>
      <c r="G29" s="1" t="str">
        <f t="shared" si="0"/>
        <v/>
      </c>
      <c r="H29" s="1"/>
    </row>
    <row r="30" spans="1:8">
      <c r="A30" s="4" t="str">
        <f t="shared" si="1"/>
        <v/>
      </c>
      <c r="B30" s="12"/>
      <c r="C30" s="13"/>
      <c r="D30" s="13"/>
      <c r="E30" s="13"/>
      <c r="F30" s="2"/>
      <c r="G30" s="2" t="str">
        <f t="shared" si="0"/>
        <v/>
      </c>
      <c r="H30" s="2"/>
    </row>
    <row r="31" spans="1:8">
      <c r="A31" s="3" t="str">
        <f t="shared" si="1"/>
        <v/>
      </c>
      <c r="B31" s="14"/>
      <c r="C31" s="15"/>
      <c r="D31" s="15"/>
      <c r="E31" s="15"/>
      <c r="F31" s="1"/>
      <c r="G31" s="1" t="str">
        <f t="shared" si="0"/>
        <v/>
      </c>
      <c r="H31" s="1"/>
    </row>
    <row r="32" spans="1:8">
      <c r="A32" s="4" t="str">
        <f t="shared" si="1"/>
        <v/>
      </c>
      <c r="B32" s="12"/>
      <c r="C32" s="13"/>
      <c r="D32" s="13"/>
      <c r="E32" s="13"/>
      <c r="F32" s="2"/>
      <c r="G32" s="2" t="str">
        <f t="shared" si="0"/>
        <v/>
      </c>
      <c r="H32" s="2"/>
    </row>
    <row r="33" spans="1:8">
      <c r="A33" s="3" t="str">
        <f t="shared" si="1"/>
        <v/>
      </c>
      <c r="B33" s="14"/>
      <c r="C33" s="15"/>
      <c r="D33" s="15"/>
      <c r="E33" s="15"/>
      <c r="F33" s="1"/>
      <c r="G33" s="1" t="str">
        <f t="shared" si="0"/>
        <v/>
      </c>
      <c r="H33" s="1"/>
    </row>
    <row r="34" spans="1:8">
      <c r="A34" s="4" t="str">
        <f t="shared" si="1"/>
        <v/>
      </c>
      <c r="B34" s="12"/>
      <c r="C34" s="13"/>
      <c r="D34" s="13"/>
      <c r="E34" s="13"/>
      <c r="F34" s="2"/>
      <c r="G34" s="2" t="str">
        <f t="shared" si="0"/>
        <v/>
      </c>
      <c r="H34" s="2"/>
    </row>
    <row r="35" spans="1:8">
      <c r="A35" s="3" t="str">
        <f t="shared" si="1"/>
        <v/>
      </c>
      <c r="B35" s="14"/>
      <c r="C35" s="15"/>
      <c r="D35" s="15"/>
      <c r="E35" s="15"/>
      <c r="F35" s="1"/>
      <c r="G35" s="1" t="str">
        <f t="shared" si="0"/>
        <v/>
      </c>
      <c r="H35" s="1"/>
    </row>
    <row r="36" spans="1:8">
      <c r="A36" s="4" t="str">
        <f t="shared" si="1"/>
        <v/>
      </c>
      <c r="B36" s="12"/>
      <c r="C36" s="13"/>
      <c r="D36" s="13"/>
      <c r="E36" s="13"/>
      <c r="F36" s="2"/>
      <c r="G36" s="2" t="str">
        <f t="shared" si="0"/>
        <v/>
      </c>
      <c r="H36" s="2"/>
    </row>
    <row r="37" spans="1:8">
      <c r="A37" s="3" t="str">
        <f t="shared" si="1"/>
        <v/>
      </c>
      <c r="B37" s="14"/>
      <c r="C37" s="15"/>
      <c r="D37" s="15"/>
      <c r="E37" s="15"/>
      <c r="F37" s="1"/>
      <c r="G37" s="1" t="str">
        <f t="shared" si="0"/>
        <v/>
      </c>
      <c r="H37" s="1"/>
    </row>
    <row r="38" spans="1:8">
      <c r="A38" s="4" t="str">
        <f t="shared" si="1"/>
        <v/>
      </c>
      <c r="B38" s="12"/>
      <c r="C38" s="13"/>
      <c r="D38" s="13"/>
      <c r="E38" s="13"/>
      <c r="F38" s="2"/>
      <c r="G38" s="2" t="str">
        <f t="shared" si="0"/>
        <v/>
      </c>
      <c r="H38" s="2"/>
    </row>
    <row r="39" spans="1:8">
      <c r="A39" s="3" t="str">
        <f t="shared" si="1"/>
        <v/>
      </c>
      <c r="B39" s="14"/>
      <c r="C39" s="15"/>
      <c r="D39" s="15"/>
      <c r="E39" s="15"/>
      <c r="F39" s="1"/>
      <c r="G39" s="1" t="str">
        <f t="shared" si="0"/>
        <v/>
      </c>
      <c r="H39" s="1"/>
    </row>
    <row r="40" spans="1:8">
      <c r="A40" s="4" t="str">
        <f t="shared" si="1"/>
        <v/>
      </c>
      <c r="B40" s="12"/>
      <c r="C40" s="13"/>
      <c r="D40" s="13"/>
      <c r="E40" s="13"/>
      <c r="F40" s="2"/>
      <c r="G40" s="2" t="str">
        <f t="shared" si="0"/>
        <v/>
      </c>
      <c r="H40" s="2"/>
    </row>
    <row r="41" spans="1:8">
      <c r="A41" s="3" t="str">
        <f t="shared" si="1"/>
        <v/>
      </c>
      <c r="B41" s="14"/>
      <c r="C41" s="15"/>
      <c r="D41" s="15"/>
      <c r="E41" s="15"/>
      <c r="F41" s="1"/>
      <c r="G41" s="1" t="str">
        <f t="shared" si="0"/>
        <v/>
      </c>
      <c r="H41" s="1"/>
    </row>
    <row r="42" spans="1:8">
      <c r="A42" s="4" t="str">
        <f t="shared" si="1"/>
        <v/>
      </c>
      <c r="B42" s="12"/>
      <c r="C42" s="13"/>
      <c r="D42" s="13"/>
      <c r="E42" s="13"/>
      <c r="F42" s="2"/>
      <c r="G42" s="2" t="str">
        <f t="shared" si="0"/>
        <v/>
      </c>
      <c r="H42" s="2"/>
    </row>
    <row r="43" spans="1:8">
      <c r="A43" s="3" t="str">
        <f t="shared" si="1"/>
        <v/>
      </c>
      <c r="B43" s="14"/>
      <c r="C43" s="15"/>
      <c r="D43" s="15"/>
      <c r="E43" s="15"/>
      <c r="F43" s="1"/>
      <c r="G43" s="1" t="str">
        <f t="shared" si="0"/>
        <v/>
      </c>
      <c r="H43" s="1"/>
    </row>
    <row r="44" spans="1:8">
      <c r="A44" s="4" t="str">
        <f t="shared" si="1"/>
        <v/>
      </c>
      <c r="B44" s="12"/>
      <c r="C44" s="13"/>
      <c r="D44" s="13"/>
      <c r="E44" s="13"/>
      <c r="F44" s="2"/>
      <c r="G44" s="2" t="str">
        <f t="shared" si="0"/>
        <v/>
      </c>
      <c r="H44" s="2"/>
    </row>
    <row r="45" spans="1:8">
      <c r="A45" s="3" t="str">
        <f t="shared" si="1"/>
        <v/>
      </c>
      <c r="B45" s="14"/>
      <c r="C45" s="15"/>
      <c r="D45" s="15"/>
      <c r="E45" s="15"/>
      <c r="F45" s="1"/>
      <c r="G45" s="1" t="str">
        <f t="shared" si="0"/>
        <v/>
      </c>
      <c r="H45" s="1"/>
    </row>
    <row r="46" spans="1:8">
      <c r="A46" s="4" t="str">
        <f t="shared" si="1"/>
        <v/>
      </c>
      <c r="B46" s="12"/>
      <c r="C46" s="13"/>
      <c r="D46" s="13"/>
      <c r="E46" s="13"/>
      <c r="F46" s="2"/>
      <c r="G46" s="2" t="str">
        <f t="shared" si="0"/>
        <v/>
      </c>
      <c r="H46" s="2"/>
    </row>
    <row r="47" spans="1:8">
      <c r="A47" s="3" t="str">
        <f t="shared" si="1"/>
        <v/>
      </c>
      <c r="B47" s="14"/>
      <c r="C47" s="15"/>
      <c r="D47" s="15"/>
      <c r="E47" s="15"/>
      <c r="F47" s="1"/>
      <c r="G47" s="1" t="str">
        <f t="shared" si="0"/>
        <v/>
      </c>
      <c r="H47" s="1"/>
    </row>
    <row r="48" spans="1:8">
      <c r="A48" s="4" t="str">
        <f t="shared" si="1"/>
        <v/>
      </c>
      <c r="B48" s="12"/>
      <c r="C48" s="13"/>
      <c r="D48" s="13"/>
      <c r="E48" s="13"/>
      <c r="F48" s="2"/>
      <c r="G48" s="2" t="str">
        <f t="shared" si="0"/>
        <v/>
      </c>
      <c r="H48" s="2"/>
    </row>
    <row r="49" spans="1:8">
      <c r="A49" s="3" t="str">
        <f t="shared" si="1"/>
        <v/>
      </c>
      <c r="B49" s="14"/>
      <c r="C49" s="15"/>
      <c r="D49" s="15"/>
      <c r="E49" s="15"/>
      <c r="F49" s="1"/>
      <c r="G49" s="1" t="str">
        <f t="shared" si="0"/>
        <v/>
      </c>
      <c r="H49" s="1"/>
    </row>
    <row r="50" spans="1:8">
      <c r="A50" s="4" t="str">
        <f t="shared" si="1"/>
        <v/>
      </c>
      <c r="B50" s="12"/>
      <c r="C50" s="13"/>
      <c r="D50" s="13"/>
      <c r="E50" s="13"/>
      <c r="F50" s="2"/>
      <c r="G50" s="2" t="str">
        <f t="shared" si="0"/>
        <v/>
      </c>
      <c r="H50" s="2"/>
    </row>
    <row r="51" spans="1:8">
      <c r="A51" s="3" t="str">
        <f t="shared" si="1"/>
        <v/>
      </c>
      <c r="B51" s="14"/>
      <c r="C51" s="15"/>
      <c r="D51" s="15"/>
      <c r="E51" s="15"/>
      <c r="F51" s="1"/>
      <c r="G51" s="1" t="str">
        <f t="shared" si="0"/>
        <v/>
      </c>
      <c r="H51" s="1"/>
    </row>
    <row r="52" spans="1:8">
      <c r="A52" s="4" t="str">
        <f t="shared" si="1"/>
        <v/>
      </c>
      <c r="B52" s="12"/>
      <c r="C52" s="13"/>
      <c r="D52" s="13"/>
      <c r="E52" s="13"/>
      <c r="F52" s="2"/>
      <c r="G52" s="2" t="str">
        <f t="shared" si="0"/>
        <v/>
      </c>
      <c r="H52" s="2"/>
    </row>
    <row r="53" spans="1:8">
      <c r="A53" s="3" t="str">
        <f t="shared" si="1"/>
        <v/>
      </c>
      <c r="B53" s="14"/>
      <c r="C53" s="15"/>
      <c r="D53" s="15"/>
      <c r="E53" s="15"/>
      <c r="F53" s="1"/>
      <c r="G53" s="1" t="str">
        <f t="shared" si="0"/>
        <v/>
      </c>
      <c r="H53" s="1"/>
    </row>
    <row r="54" spans="1:8">
      <c r="A54" s="4" t="str">
        <f t="shared" si="1"/>
        <v/>
      </c>
      <c r="B54" s="12"/>
      <c r="C54" s="13"/>
      <c r="D54" s="13"/>
      <c r="E54" s="13"/>
      <c r="F54" s="2"/>
      <c r="G54" s="2" t="str">
        <f t="shared" si="0"/>
        <v/>
      </c>
      <c r="H54" s="2"/>
    </row>
    <row r="55" spans="1:8">
      <c r="A55" s="3" t="str">
        <f t="shared" si="1"/>
        <v/>
      </c>
      <c r="B55" s="14"/>
      <c r="C55" s="15"/>
      <c r="D55" s="15"/>
      <c r="E55" s="15"/>
      <c r="F55" s="1"/>
      <c r="G55" s="1" t="str">
        <f t="shared" si="0"/>
        <v/>
      </c>
      <c r="H55" s="1"/>
    </row>
    <row r="56" spans="1:8">
      <c r="A56" s="4" t="str">
        <f t="shared" si="1"/>
        <v/>
      </c>
      <c r="B56" s="12"/>
      <c r="C56" s="13"/>
      <c r="D56" s="13"/>
      <c r="E56" s="13"/>
      <c r="F56" s="2"/>
      <c r="G56" s="2" t="str">
        <f t="shared" si="0"/>
        <v/>
      </c>
      <c r="H56" s="2"/>
    </row>
    <row r="57" spans="1:8">
      <c r="A57" s="3" t="str">
        <f t="shared" si="1"/>
        <v/>
      </c>
      <c r="B57" s="14"/>
      <c r="C57" s="15"/>
      <c r="D57" s="15"/>
      <c r="E57" s="15"/>
      <c r="F57" s="1"/>
      <c r="G57" s="1" t="str">
        <f t="shared" si="0"/>
        <v/>
      </c>
      <c r="H57" s="1"/>
    </row>
    <row r="58" spans="1:8">
      <c r="A58" s="4" t="str">
        <f t="shared" si="1"/>
        <v/>
      </c>
      <c r="B58" s="12"/>
      <c r="C58" s="13"/>
      <c r="D58" s="13"/>
      <c r="E58" s="13"/>
      <c r="F58" s="2"/>
      <c r="G58" s="2" t="str">
        <f t="shared" si="0"/>
        <v/>
      </c>
      <c r="H58" s="2"/>
    </row>
    <row r="59" spans="1:8">
      <c r="A59" s="3" t="str">
        <f t="shared" si="1"/>
        <v/>
      </c>
      <c r="B59" s="14"/>
      <c r="C59" s="15"/>
      <c r="D59" s="15"/>
      <c r="E59" s="15"/>
      <c r="F59" s="1"/>
      <c r="G59" s="1" t="str">
        <f t="shared" si="0"/>
        <v/>
      </c>
      <c r="H59" s="1"/>
    </row>
    <row r="60" spans="1:8">
      <c r="A60" s="4" t="str">
        <f t="shared" si="1"/>
        <v/>
      </c>
      <c r="B60" s="12"/>
      <c r="C60" s="13"/>
      <c r="D60" s="13"/>
      <c r="E60" s="13"/>
      <c r="F60" s="2"/>
      <c r="G60" s="2" t="str">
        <f t="shared" si="0"/>
        <v/>
      </c>
      <c r="H60" s="2"/>
    </row>
    <row r="61" spans="1:8">
      <c r="A61" s="3" t="str">
        <f t="shared" si="1"/>
        <v/>
      </c>
      <c r="B61" s="14"/>
      <c r="C61" s="15"/>
      <c r="D61" s="15"/>
      <c r="E61" s="15"/>
      <c r="F61" s="1"/>
      <c r="G61" s="1" t="str">
        <f t="shared" si="0"/>
        <v/>
      </c>
      <c r="H61" s="1"/>
    </row>
    <row r="62" spans="1:8">
      <c r="A62" s="4" t="str">
        <f t="shared" si="1"/>
        <v/>
      </c>
      <c r="B62" s="12"/>
      <c r="C62" s="13"/>
      <c r="D62" s="13"/>
      <c r="E62" s="13"/>
      <c r="F62" s="2"/>
      <c r="G62" s="2" t="str">
        <f t="shared" si="0"/>
        <v/>
      </c>
      <c r="H62" s="2"/>
    </row>
    <row r="63" spans="1:8">
      <c r="A63" s="3" t="str">
        <f t="shared" si="1"/>
        <v/>
      </c>
      <c r="B63" s="14"/>
      <c r="C63" s="15"/>
      <c r="D63" s="15"/>
      <c r="E63" s="15"/>
      <c r="F63" s="1"/>
      <c r="G63" s="1" t="str">
        <f t="shared" si="0"/>
        <v/>
      </c>
      <c r="H63" s="1"/>
    </row>
    <row r="64" spans="1:8">
      <c r="A64" s="4" t="str">
        <f t="shared" si="1"/>
        <v/>
      </c>
      <c r="B64" s="12"/>
      <c r="C64" s="13"/>
      <c r="D64" s="13"/>
      <c r="E64" s="13"/>
      <c r="F64" s="2"/>
      <c r="G64" s="2" t="str">
        <f t="shared" si="0"/>
        <v/>
      </c>
      <c r="H64" s="2"/>
    </row>
    <row r="65" spans="1:8">
      <c r="A65" s="3" t="str">
        <f t="shared" si="1"/>
        <v/>
      </c>
      <c r="B65" s="14"/>
      <c r="C65" s="15"/>
      <c r="D65" s="15"/>
      <c r="E65" s="15"/>
      <c r="F65" s="1"/>
      <c r="G65" s="1" t="str">
        <f t="shared" si="0"/>
        <v/>
      </c>
      <c r="H65" s="1"/>
    </row>
    <row r="66" spans="1:8">
      <c r="A66" s="4" t="str">
        <f t="shared" si="1"/>
        <v/>
      </c>
      <c r="B66" s="12"/>
      <c r="C66" s="13"/>
      <c r="D66" s="13"/>
      <c r="E66" s="13"/>
      <c r="F66" s="2"/>
      <c r="G66" s="2" t="str">
        <f t="shared" si="0"/>
        <v/>
      </c>
      <c r="H66" s="2"/>
    </row>
    <row r="67" spans="1:8">
      <c r="A67" s="3" t="str">
        <f t="shared" si="1"/>
        <v/>
      </c>
      <c r="B67" s="14"/>
      <c r="C67" s="15"/>
      <c r="D67" s="15"/>
      <c r="E67" s="15"/>
      <c r="F67" s="1"/>
      <c r="G67" s="1" t="str">
        <f t="shared" si="0"/>
        <v/>
      </c>
      <c r="H67" s="1"/>
    </row>
    <row r="68" spans="1:8">
      <c r="A68" s="4" t="str">
        <f t="shared" si="1"/>
        <v/>
      </c>
      <c r="B68" s="12"/>
      <c r="C68" s="13"/>
      <c r="D68" s="13"/>
      <c r="E68" s="13"/>
      <c r="F68" s="2"/>
      <c r="G68" s="2" t="str">
        <f t="shared" si="0"/>
        <v/>
      </c>
      <c r="H68" s="2"/>
    </row>
    <row r="69" spans="1:8">
      <c r="A69" s="3" t="str">
        <f t="shared" ref="A69:A132" si="2">IF(B69="","",ROW()-4)</f>
        <v/>
      </c>
      <c r="B69" s="14"/>
      <c r="C69" s="15"/>
      <c r="D69" s="15"/>
      <c r="E69" s="15"/>
      <c r="F69" s="1"/>
      <c r="G69" s="1" t="str">
        <f t="shared" ref="G69:G132" si="3">IF(B69="","","UNPAID")</f>
        <v/>
      </c>
      <c r="H69" s="1"/>
    </row>
    <row r="70" spans="1:8">
      <c r="A70" s="4" t="str">
        <f t="shared" si="2"/>
        <v/>
      </c>
      <c r="B70" s="12"/>
      <c r="C70" s="13"/>
      <c r="D70" s="13"/>
      <c r="E70" s="13"/>
      <c r="F70" s="2"/>
      <c r="G70" s="2" t="str">
        <f t="shared" si="3"/>
        <v/>
      </c>
      <c r="H70" s="2"/>
    </row>
    <row r="71" spans="1:8">
      <c r="A71" s="3" t="str">
        <f t="shared" si="2"/>
        <v/>
      </c>
      <c r="B71" s="14"/>
      <c r="C71" s="15"/>
      <c r="D71" s="15"/>
      <c r="E71" s="15"/>
      <c r="F71" s="1"/>
      <c r="G71" s="1" t="str">
        <f t="shared" si="3"/>
        <v/>
      </c>
      <c r="H71" s="1"/>
    </row>
    <row r="72" spans="1:8">
      <c r="A72" s="4" t="str">
        <f t="shared" si="2"/>
        <v/>
      </c>
      <c r="B72" s="12"/>
      <c r="C72" s="13"/>
      <c r="D72" s="13"/>
      <c r="E72" s="13"/>
      <c r="F72" s="2"/>
      <c r="G72" s="2" t="str">
        <f t="shared" si="3"/>
        <v/>
      </c>
      <c r="H72" s="2"/>
    </row>
    <row r="73" spans="1:8">
      <c r="A73" s="3" t="str">
        <f t="shared" si="2"/>
        <v/>
      </c>
      <c r="B73" s="14"/>
      <c r="C73" s="15"/>
      <c r="D73" s="15"/>
      <c r="E73" s="15"/>
      <c r="F73" s="1"/>
      <c r="G73" s="1" t="str">
        <f t="shared" si="3"/>
        <v/>
      </c>
      <c r="H73" s="1"/>
    </row>
    <row r="74" spans="1:8">
      <c r="A74" s="4" t="str">
        <f t="shared" si="2"/>
        <v/>
      </c>
      <c r="B74" s="12"/>
      <c r="C74" s="13"/>
      <c r="D74" s="13"/>
      <c r="E74" s="13"/>
      <c r="F74" s="2"/>
      <c r="G74" s="2" t="str">
        <f t="shared" si="3"/>
        <v/>
      </c>
      <c r="H74" s="2"/>
    </row>
    <row r="75" spans="1:8">
      <c r="A75" s="3" t="str">
        <f t="shared" si="2"/>
        <v/>
      </c>
      <c r="B75" s="14"/>
      <c r="C75" s="15"/>
      <c r="D75" s="15"/>
      <c r="E75" s="15"/>
      <c r="F75" s="1"/>
      <c r="G75" s="1" t="str">
        <f t="shared" si="3"/>
        <v/>
      </c>
      <c r="H75" s="1"/>
    </row>
    <row r="76" spans="1:8">
      <c r="A76" s="4" t="str">
        <f t="shared" si="2"/>
        <v/>
      </c>
      <c r="B76" s="12"/>
      <c r="C76" s="13"/>
      <c r="D76" s="13"/>
      <c r="E76" s="13"/>
      <c r="F76" s="2"/>
      <c r="G76" s="2" t="str">
        <f t="shared" si="3"/>
        <v/>
      </c>
      <c r="H76" s="2"/>
    </row>
    <row r="77" spans="1:8">
      <c r="A77" s="3" t="str">
        <f t="shared" si="2"/>
        <v/>
      </c>
      <c r="B77" s="14"/>
      <c r="C77" s="15"/>
      <c r="D77" s="15"/>
      <c r="E77" s="15"/>
      <c r="F77" s="1"/>
      <c r="G77" s="1" t="str">
        <f t="shared" si="3"/>
        <v/>
      </c>
      <c r="H77" s="1"/>
    </row>
    <row r="78" spans="1:8">
      <c r="A78" s="4" t="str">
        <f t="shared" si="2"/>
        <v/>
      </c>
      <c r="B78" s="12"/>
      <c r="C78" s="13"/>
      <c r="D78" s="13"/>
      <c r="E78" s="13"/>
      <c r="F78" s="2"/>
      <c r="G78" s="2" t="str">
        <f t="shared" si="3"/>
        <v/>
      </c>
      <c r="H78" s="2"/>
    </row>
    <row r="79" spans="1:8">
      <c r="A79" s="3" t="str">
        <f t="shared" si="2"/>
        <v/>
      </c>
      <c r="B79" s="14"/>
      <c r="C79" s="15"/>
      <c r="D79" s="15"/>
      <c r="E79" s="15"/>
      <c r="F79" s="1"/>
      <c r="G79" s="1" t="str">
        <f t="shared" si="3"/>
        <v/>
      </c>
      <c r="H79" s="1"/>
    </row>
    <row r="80" spans="1:8">
      <c r="A80" s="4" t="str">
        <f t="shared" si="2"/>
        <v/>
      </c>
      <c r="B80" s="12"/>
      <c r="C80" s="13"/>
      <c r="D80" s="13"/>
      <c r="E80" s="13"/>
      <c r="F80" s="2"/>
      <c r="G80" s="2" t="str">
        <f t="shared" si="3"/>
        <v/>
      </c>
      <c r="H80" s="2"/>
    </row>
    <row r="81" spans="1:8">
      <c r="A81" s="3" t="str">
        <f t="shared" si="2"/>
        <v/>
      </c>
      <c r="B81" s="14"/>
      <c r="C81" s="15"/>
      <c r="D81" s="15"/>
      <c r="E81" s="15"/>
      <c r="F81" s="1"/>
      <c r="G81" s="1" t="str">
        <f t="shared" si="3"/>
        <v/>
      </c>
      <c r="H81" s="1"/>
    </row>
    <row r="82" spans="1:8">
      <c r="A82" s="4" t="str">
        <f t="shared" si="2"/>
        <v/>
      </c>
      <c r="B82" s="12"/>
      <c r="C82" s="13"/>
      <c r="D82" s="13"/>
      <c r="E82" s="13"/>
      <c r="F82" s="2"/>
      <c r="G82" s="2" t="str">
        <f t="shared" si="3"/>
        <v/>
      </c>
      <c r="H82" s="2"/>
    </row>
    <row r="83" spans="1:8">
      <c r="A83" s="3" t="str">
        <f t="shared" si="2"/>
        <v/>
      </c>
      <c r="B83" s="14"/>
      <c r="C83" s="15"/>
      <c r="D83" s="15"/>
      <c r="E83" s="15"/>
      <c r="F83" s="1"/>
      <c r="G83" s="1" t="str">
        <f t="shared" si="3"/>
        <v/>
      </c>
      <c r="H83" s="1"/>
    </row>
    <row r="84" spans="1:8">
      <c r="A84" s="4" t="str">
        <f t="shared" si="2"/>
        <v/>
      </c>
      <c r="B84" s="12"/>
      <c r="C84" s="13"/>
      <c r="D84" s="13"/>
      <c r="E84" s="13"/>
      <c r="F84" s="2"/>
      <c r="G84" s="2" t="str">
        <f t="shared" si="3"/>
        <v/>
      </c>
      <c r="H84" s="2"/>
    </row>
    <row r="85" spans="1:8">
      <c r="A85" s="3" t="str">
        <f t="shared" si="2"/>
        <v/>
      </c>
      <c r="B85" s="14"/>
      <c r="C85" s="15"/>
      <c r="D85" s="15"/>
      <c r="E85" s="15"/>
      <c r="F85" s="1"/>
      <c r="G85" s="1" t="str">
        <f t="shared" si="3"/>
        <v/>
      </c>
      <c r="H85" s="1"/>
    </row>
    <row r="86" spans="1:8">
      <c r="A86" s="4" t="str">
        <f t="shared" si="2"/>
        <v/>
      </c>
      <c r="B86" s="12"/>
      <c r="C86" s="13"/>
      <c r="D86" s="13"/>
      <c r="E86" s="13"/>
      <c r="F86" s="2"/>
      <c r="G86" s="2" t="str">
        <f t="shared" si="3"/>
        <v/>
      </c>
      <c r="H86" s="2"/>
    </row>
    <row r="87" spans="1:8">
      <c r="A87" s="3" t="str">
        <f t="shared" si="2"/>
        <v/>
      </c>
      <c r="B87" s="14"/>
      <c r="C87" s="15"/>
      <c r="D87" s="15"/>
      <c r="E87" s="15"/>
      <c r="F87" s="1"/>
      <c r="G87" s="1" t="str">
        <f t="shared" si="3"/>
        <v/>
      </c>
      <c r="H87" s="1"/>
    </row>
    <row r="88" spans="1:8">
      <c r="A88" s="4" t="str">
        <f t="shared" si="2"/>
        <v/>
      </c>
      <c r="B88" s="12"/>
      <c r="C88" s="13"/>
      <c r="D88" s="13"/>
      <c r="E88" s="13"/>
      <c r="F88" s="2"/>
      <c r="G88" s="2" t="str">
        <f t="shared" si="3"/>
        <v/>
      </c>
      <c r="H88" s="2"/>
    </row>
    <row r="89" spans="1:8">
      <c r="A89" s="3" t="str">
        <f t="shared" si="2"/>
        <v/>
      </c>
      <c r="B89" s="14"/>
      <c r="C89" s="15"/>
      <c r="D89" s="15"/>
      <c r="E89" s="15"/>
      <c r="F89" s="1"/>
      <c r="G89" s="1" t="str">
        <f t="shared" si="3"/>
        <v/>
      </c>
      <c r="H89" s="1"/>
    </row>
    <row r="90" spans="1:8">
      <c r="A90" s="4" t="str">
        <f t="shared" si="2"/>
        <v/>
      </c>
      <c r="B90" s="12"/>
      <c r="C90" s="13"/>
      <c r="D90" s="13"/>
      <c r="E90" s="13"/>
      <c r="F90" s="2"/>
      <c r="G90" s="2" t="str">
        <f t="shared" si="3"/>
        <v/>
      </c>
      <c r="H90" s="2"/>
    </row>
    <row r="91" spans="1:8">
      <c r="A91" s="3" t="str">
        <f t="shared" si="2"/>
        <v/>
      </c>
      <c r="B91" s="14"/>
      <c r="C91" s="15"/>
      <c r="D91" s="15"/>
      <c r="E91" s="15"/>
      <c r="F91" s="1"/>
      <c r="G91" s="1" t="str">
        <f t="shared" si="3"/>
        <v/>
      </c>
      <c r="H91" s="1"/>
    </row>
    <row r="92" spans="1:8">
      <c r="A92" s="4" t="str">
        <f t="shared" si="2"/>
        <v/>
      </c>
      <c r="B92" s="12"/>
      <c r="C92" s="13"/>
      <c r="D92" s="13"/>
      <c r="E92" s="13"/>
      <c r="F92" s="2"/>
      <c r="G92" s="2" t="str">
        <f t="shared" si="3"/>
        <v/>
      </c>
      <c r="H92" s="2"/>
    </row>
    <row r="93" spans="1:8">
      <c r="A93" s="3" t="str">
        <f t="shared" si="2"/>
        <v/>
      </c>
      <c r="B93" s="14"/>
      <c r="C93" s="15"/>
      <c r="D93" s="15"/>
      <c r="E93" s="15"/>
      <c r="F93" s="1"/>
      <c r="G93" s="1" t="str">
        <f t="shared" si="3"/>
        <v/>
      </c>
      <c r="H93" s="1"/>
    </row>
    <row r="94" spans="1:8">
      <c r="A94" s="4" t="str">
        <f t="shared" si="2"/>
        <v/>
      </c>
      <c r="B94" s="12"/>
      <c r="C94" s="13"/>
      <c r="D94" s="13"/>
      <c r="E94" s="13"/>
      <c r="F94" s="2"/>
      <c r="G94" s="2" t="str">
        <f t="shared" si="3"/>
        <v/>
      </c>
      <c r="H94" s="2"/>
    </row>
    <row r="95" spans="1:8">
      <c r="A95" s="3" t="str">
        <f t="shared" si="2"/>
        <v/>
      </c>
      <c r="B95" s="14"/>
      <c r="C95" s="15"/>
      <c r="D95" s="15"/>
      <c r="E95" s="15"/>
      <c r="F95" s="1"/>
      <c r="G95" s="1" t="str">
        <f t="shared" si="3"/>
        <v/>
      </c>
      <c r="H95" s="1"/>
    </row>
    <row r="96" spans="1:8">
      <c r="A96" s="4" t="str">
        <f t="shared" si="2"/>
        <v/>
      </c>
      <c r="B96" s="12"/>
      <c r="C96" s="13"/>
      <c r="D96" s="13"/>
      <c r="E96" s="13"/>
      <c r="F96" s="2"/>
      <c r="G96" s="2" t="str">
        <f t="shared" si="3"/>
        <v/>
      </c>
      <c r="H96" s="2"/>
    </row>
    <row r="97" spans="1:8">
      <c r="A97" s="3" t="str">
        <f t="shared" si="2"/>
        <v/>
      </c>
      <c r="B97" s="14"/>
      <c r="C97" s="15"/>
      <c r="D97" s="15"/>
      <c r="E97" s="15"/>
      <c r="F97" s="1"/>
      <c r="G97" s="1" t="str">
        <f t="shared" si="3"/>
        <v/>
      </c>
      <c r="H97" s="1"/>
    </row>
    <row r="98" spans="1:8">
      <c r="A98" s="4" t="str">
        <f t="shared" si="2"/>
        <v/>
      </c>
      <c r="B98" s="12"/>
      <c r="C98" s="13"/>
      <c r="D98" s="13"/>
      <c r="E98" s="13"/>
      <c r="F98" s="2"/>
      <c r="G98" s="2" t="str">
        <f t="shared" si="3"/>
        <v/>
      </c>
      <c r="H98" s="2"/>
    </row>
    <row r="99" spans="1:8">
      <c r="A99" s="3" t="str">
        <f t="shared" si="2"/>
        <v/>
      </c>
      <c r="B99" s="14"/>
      <c r="C99" s="15"/>
      <c r="D99" s="15"/>
      <c r="E99" s="15"/>
      <c r="F99" s="1"/>
      <c r="G99" s="1" t="str">
        <f t="shared" si="3"/>
        <v/>
      </c>
      <c r="H99" s="1"/>
    </row>
    <row r="100" spans="1:8">
      <c r="A100" s="4" t="str">
        <f t="shared" si="2"/>
        <v/>
      </c>
      <c r="B100" s="12"/>
      <c r="C100" s="13"/>
      <c r="D100" s="13"/>
      <c r="E100" s="13"/>
      <c r="F100" s="2"/>
      <c r="G100" s="2" t="str">
        <f t="shared" si="3"/>
        <v/>
      </c>
      <c r="H100" s="2"/>
    </row>
    <row r="101" spans="1:8">
      <c r="A101" s="3" t="str">
        <f t="shared" si="2"/>
        <v/>
      </c>
      <c r="B101" s="14"/>
      <c r="C101" s="15"/>
      <c r="D101" s="15"/>
      <c r="E101" s="15"/>
      <c r="F101" s="1"/>
      <c r="G101" s="1" t="str">
        <f t="shared" si="3"/>
        <v/>
      </c>
      <c r="H101" s="1"/>
    </row>
    <row r="102" spans="1:8">
      <c r="A102" s="4" t="str">
        <f t="shared" si="2"/>
        <v/>
      </c>
      <c r="B102" s="12"/>
      <c r="C102" s="13"/>
      <c r="D102" s="13"/>
      <c r="E102" s="13"/>
      <c r="F102" s="2"/>
      <c r="G102" s="2" t="str">
        <f t="shared" si="3"/>
        <v/>
      </c>
      <c r="H102" s="2"/>
    </row>
    <row r="103" spans="1:8">
      <c r="A103" s="3" t="str">
        <f t="shared" si="2"/>
        <v/>
      </c>
      <c r="B103" s="14"/>
      <c r="C103" s="15"/>
      <c r="D103" s="15"/>
      <c r="E103" s="15"/>
      <c r="F103" s="1"/>
      <c r="G103" s="1" t="str">
        <f t="shared" si="3"/>
        <v/>
      </c>
      <c r="H103" s="1"/>
    </row>
    <row r="104" spans="1:8">
      <c r="A104" s="4" t="str">
        <f t="shared" si="2"/>
        <v/>
      </c>
      <c r="B104" s="12"/>
      <c r="C104" s="13"/>
      <c r="D104" s="13"/>
      <c r="E104" s="13"/>
      <c r="F104" s="2"/>
      <c r="G104" s="2" t="str">
        <f t="shared" si="3"/>
        <v/>
      </c>
      <c r="H104" s="2"/>
    </row>
    <row r="105" spans="1:8">
      <c r="A105" s="3" t="str">
        <f t="shared" si="2"/>
        <v/>
      </c>
      <c r="B105" s="14"/>
      <c r="C105" s="15"/>
      <c r="D105" s="15"/>
      <c r="E105" s="15"/>
      <c r="F105" s="1"/>
      <c r="G105" s="1" t="str">
        <f t="shared" si="3"/>
        <v/>
      </c>
      <c r="H105" s="1"/>
    </row>
    <row r="106" spans="1:8">
      <c r="A106" s="4" t="str">
        <f t="shared" si="2"/>
        <v/>
      </c>
      <c r="B106" s="12"/>
      <c r="C106" s="13"/>
      <c r="D106" s="13"/>
      <c r="E106" s="13"/>
      <c r="F106" s="2"/>
      <c r="G106" s="2" t="str">
        <f t="shared" si="3"/>
        <v/>
      </c>
      <c r="H106" s="2"/>
    </row>
    <row r="107" spans="1:8">
      <c r="A107" s="3" t="str">
        <f t="shared" si="2"/>
        <v/>
      </c>
      <c r="B107" s="14"/>
      <c r="C107" s="15"/>
      <c r="D107" s="15"/>
      <c r="E107" s="15"/>
      <c r="F107" s="1"/>
      <c r="G107" s="1" t="str">
        <f t="shared" si="3"/>
        <v/>
      </c>
      <c r="H107" s="1"/>
    </row>
    <row r="108" spans="1:8">
      <c r="A108" s="4" t="str">
        <f t="shared" si="2"/>
        <v/>
      </c>
      <c r="B108" s="12"/>
      <c r="C108" s="13"/>
      <c r="D108" s="13"/>
      <c r="E108" s="13"/>
      <c r="F108" s="2"/>
      <c r="G108" s="2" t="str">
        <f t="shared" si="3"/>
        <v/>
      </c>
      <c r="H108" s="2"/>
    </row>
    <row r="109" spans="1:8">
      <c r="A109" s="3" t="str">
        <f t="shared" si="2"/>
        <v/>
      </c>
      <c r="B109" s="14"/>
      <c r="C109" s="15"/>
      <c r="D109" s="15"/>
      <c r="E109" s="15"/>
      <c r="F109" s="1"/>
      <c r="G109" s="1" t="str">
        <f t="shared" si="3"/>
        <v/>
      </c>
      <c r="H109" s="1"/>
    </row>
    <row r="110" spans="1:8">
      <c r="A110" s="4" t="str">
        <f t="shared" si="2"/>
        <v/>
      </c>
      <c r="B110" s="12"/>
      <c r="C110" s="13"/>
      <c r="D110" s="13"/>
      <c r="E110" s="13"/>
      <c r="F110" s="2"/>
      <c r="G110" s="2" t="str">
        <f t="shared" si="3"/>
        <v/>
      </c>
      <c r="H110" s="2"/>
    </row>
    <row r="111" spans="1:8">
      <c r="A111" s="3" t="str">
        <f t="shared" si="2"/>
        <v/>
      </c>
      <c r="B111" s="14"/>
      <c r="C111" s="15"/>
      <c r="D111" s="15"/>
      <c r="E111" s="15"/>
      <c r="F111" s="1"/>
      <c r="G111" s="1" t="str">
        <f t="shared" si="3"/>
        <v/>
      </c>
      <c r="H111" s="1"/>
    </row>
    <row r="112" spans="1:8">
      <c r="A112" s="4" t="str">
        <f t="shared" si="2"/>
        <v/>
      </c>
      <c r="B112" s="12"/>
      <c r="C112" s="13"/>
      <c r="D112" s="13"/>
      <c r="E112" s="13"/>
      <c r="F112" s="2"/>
      <c r="G112" s="2" t="str">
        <f t="shared" si="3"/>
        <v/>
      </c>
      <c r="H112" s="2"/>
    </row>
    <row r="113" spans="1:8">
      <c r="A113" s="3" t="str">
        <f t="shared" si="2"/>
        <v/>
      </c>
      <c r="B113" s="14"/>
      <c r="C113" s="15"/>
      <c r="D113" s="15"/>
      <c r="E113" s="15"/>
      <c r="F113" s="1"/>
      <c r="G113" s="1" t="str">
        <f t="shared" si="3"/>
        <v/>
      </c>
      <c r="H113" s="1"/>
    </row>
    <row r="114" spans="1:8">
      <c r="A114" s="4" t="str">
        <f t="shared" si="2"/>
        <v/>
      </c>
      <c r="B114" s="12"/>
      <c r="C114" s="13"/>
      <c r="D114" s="13"/>
      <c r="E114" s="13"/>
      <c r="F114" s="2"/>
      <c r="G114" s="2" t="str">
        <f t="shared" si="3"/>
        <v/>
      </c>
      <c r="H114" s="2"/>
    </row>
    <row r="115" spans="1:8">
      <c r="A115" s="3" t="str">
        <f t="shared" si="2"/>
        <v/>
      </c>
      <c r="B115" s="14"/>
      <c r="C115" s="15"/>
      <c r="D115" s="15"/>
      <c r="E115" s="15"/>
      <c r="F115" s="1"/>
      <c r="G115" s="1" t="str">
        <f t="shared" si="3"/>
        <v/>
      </c>
      <c r="H115" s="1"/>
    </row>
    <row r="116" spans="1:8">
      <c r="A116" s="4" t="str">
        <f t="shared" si="2"/>
        <v/>
      </c>
      <c r="B116" s="12"/>
      <c r="C116" s="13"/>
      <c r="D116" s="13"/>
      <c r="E116" s="13"/>
      <c r="F116" s="2"/>
      <c r="G116" s="2" t="str">
        <f t="shared" si="3"/>
        <v/>
      </c>
      <c r="H116" s="2"/>
    </row>
    <row r="117" spans="1:8">
      <c r="A117" s="3" t="str">
        <f t="shared" si="2"/>
        <v/>
      </c>
      <c r="B117" s="14"/>
      <c r="C117" s="15"/>
      <c r="D117" s="15"/>
      <c r="E117" s="15"/>
      <c r="F117" s="1"/>
      <c r="G117" s="1" t="str">
        <f t="shared" si="3"/>
        <v/>
      </c>
      <c r="H117" s="1"/>
    </row>
    <row r="118" spans="1:8">
      <c r="A118" s="4" t="str">
        <f t="shared" si="2"/>
        <v/>
      </c>
      <c r="B118" s="12"/>
      <c r="C118" s="13"/>
      <c r="D118" s="13"/>
      <c r="E118" s="13"/>
      <c r="F118" s="2"/>
      <c r="G118" s="2" t="str">
        <f t="shared" si="3"/>
        <v/>
      </c>
      <c r="H118" s="2"/>
    </row>
    <row r="119" spans="1:8">
      <c r="A119" s="3" t="str">
        <f t="shared" si="2"/>
        <v/>
      </c>
      <c r="B119" s="14"/>
      <c r="C119" s="15"/>
      <c r="D119" s="15"/>
      <c r="E119" s="15"/>
      <c r="F119" s="1"/>
      <c r="G119" s="1" t="str">
        <f t="shared" si="3"/>
        <v/>
      </c>
      <c r="H119" s="1"/>
    </row>
    <row r="120" spans="1:8">
      <c r="A120" s="4" t="str">
        <f t="shared" si="2"/>
        <v/>
      </c>
      <c r="B120" s="12"/>
      <c r="C120" s="13"/>
      <c r="D120" s="13"/>
      <c r="E120" s="13"/>
      <c r="F120" s="2"/>
      <c r="G120" s="2" t="str">
        <f t="shared" si="3"/>
        <v/>
      </c>
      <c r="H120" s="2"/>
    </row>
    <row r="121" spans="1:8">
      <c r="A121" s="3" t="str">
        <f t="shared" si="2"/>
        <v/>
      </c>
      <c r="B121" s="14"/>
      <c r="C121" s="15"/>
      <c r="D121" s="15"/>
      <c r="E121" s="15"/>
      <c r="F121" s="1"/>
      <c r="G121" s="1" t="str">
        <f t="shared" si="3"/>
        <v/>
      </c>
      <c r="H121" s="1"/>
    </row>
    <row r="122" spans="1:8">
      <c r="A122" s="4" t="str">
        <f t="shared" si="2"/>
        <v/>
      </c>
      <c r="B122" s="12"/>
      <c r="C122" s="13"/>
      <c r="D122" s="13"/>
      <c r="E122" s="13"/>
      <c r="F122" s="2"/>
      <c r="G122" s="2" t="str">
        <f t="shared" si="3"/>
        <v/>
      </c>
      <c r="H122" s="2"/>
    </row>
    <row r="123" spans="1:8">
      <c r="A123" s="3" t="str">
        <f t="shared" si="2"/>
        <v/>
      </c>
      <c r="B123" s="14"/>
      <c r="C123" s="15"/>
      <c r="D123" s="15"/>
      <c r="E123" s="15"/>
      <c r="F123" s="1"/>
      <c r="G123" s="1" t="str">
        <f t="shared" si="3"/>
        <v/>
      </c>
      <c r="H123" s="1"/>
    </row>
    <row r="124" spans="1:8">
      <c r="A124" s="4" t="str">
        <f t="shared" si="2"/>
        <v/>
      </c>
      <c r="B124" s="12"/>
      <c r="C124" s="13"/>
      <c r="D124" s="13"/>
      <c r="E124" s="13"/>
      <c r="F124" s="2"/>
      <c r="G124" s="2" t="str">
        <f t="shared" si="3"/>
        <v/>
      </c>
      <c r="H124" s="2"/>
    </row>
    <row r="125" spans="1:8">
      <c r="A125" s="3" t="str">
        <f t="shared" si="2"/>
        <v/>
      </c>
      <c r="B125" s="14"/>
      <c r="C125" s="15"/>
      <c r="D125" s="15"/>
      <c r="E125" s="15"/>
      <c r="F125" s="1"/>
      <c r="G125" s="1" t="str">
        <f t="shared" si="3"/>
        <v/>
      </c>
      <c r="H125" s="1"/>
    </row>
    <row r="126" spans="1:8">
      <c r="A126" s="4" t="str">
        <f t="shared" si="2"/>
        <v/>
      </c>
      <c r="B126" s="12"/>
      <c r="C126" s="13"/>
      <c r="D126" s="13"/>
      <c r="E126" s="13"/>
      <c r="F126" s="2"/>
      <c r="G126" s="2" t="str">
        <f t="shared" si="3"/>
        <v/>
      </c>
      <c r="H126" s="2"/>
    </row>
    <row r="127" spans="1:8">
      <c r="A127" s="3" t="str">
        <f t="shared" si="2"/>
        <v/>
      </c>
      <c r="B127" s="14"/>
      <c r="C127" s="15"/>
      <c r="D127" s="15"/>
      <c r="E127" s="15"/>
      <c r="F127" s="1"/>
      <c r="G127" s="1" t="str">
        <f t="shared" si="3"/>
        <v/>
      </c>
      <c r="H127" s="1"/>
    </row>
    <row r="128" spans="1:8">
      <c r="A128" s="4" t="str">
        <f t="shared" si="2"/>
        <v/>
      </c>
      <c r="B128" s="12"/>
      <c r="C128" s="13"/>
      <c r="D128" s="13"/>
      <c r="E128" s="13"/>
      <c r="F128" s="2"/>
      <c r="G128" s="2" t="str">
        <f t="shared" si="3"/>
        <v/>
      </c>
      <c r="H128" s="2"/>
    </row>
    <row r="129" spans="1:8">
      <c r="A129" s="3" t="str">
        <f t="shared" si="2"/>
        <v/>
      </c>
      <c r="B129" s="14"/>
      <c r="C129" s="15"/>
      <c r="D129" s="15"/>
      <c r="E129" s="15"/>
      <c r="F129" s="1"/>
      <c r="G129" s="1" t="str">
        <f t="shared" si="3"/>
        <v/>
      </c>
      <c r="H129" s="1"/>
    </row>
    <row r="130" spans="1:8">
      <c r="A130" s="4" t="str">
        <f t="shared" si="2"/>
        <v/>
      </c>
      <c r="B130" s="12"/>
      <c r="C130" s="13"/>
      <c r="D130" s="13"/>
      <c r="E130" s="13"/>
      <c r="F130" s="2"/>
      <c r="G130" s="2" t="str">
        <f t="shared" si="3"/>
        <v/>
      </c>
      <c r="H130" s="2"/>
    </row>
    <row r="131" spans="1:8">
      <c r="A131" s="3" t="str">
        <f t="shared" si="2"/>
        <v/>
      </c>
      <c r="B131" s="14"/>
      <c r="C131" s="15"/>
      <c r="D131" s="15"/>
      <c r="E131" s="15"/>
      <c r="F131" s="1"/>
      <c r="G131" s="1" t="str">
        <f t="shared" si="3"/>
        <v/>
      </c>
      <c r="H131" s="1"/>
    </row>
    <row r="132" spans="1:8">
      <c r="A132" s="4" t="str">
        <f t="shared" si="2"/>
        <v/>
      </c>
      <c r="B132" s="12"/>
      <c r="C132" s="13"/>
      <c r="D132" s="13"/>
      <c r="E132" s="13"/>
      <c r="F132" s="2"/>
      <c r="G132" s="2" t="str">
        <f t="shared" si="3"/>
        <v/>
      </c>
      <c r="H132" s="2"/>
    </row>
    <row r="133" spans="1:8">
      <c r="A133" s="3" t="str">
        <f t="shared" ref="A133:A196" si="4">IF(B133="","",ROW()-4)</f>
        <v/>
      </c>
      <c r="B133" s="14"/>
      <c r="C133" s="15"/>
      <c r="D133" s="15"/>
      <c r="E133" s="15"/>
      <c r="F133" s="1"/>
      <c r="G133" s="1" t="str">
        <f t="shared" ref="G133:G196" si="5">IF(B133="","","UNPAID")</f>
        <v/>
      </c>
      <c r="H133" s="1"/>
    </row>
    <row r="134" spans="1:8">
      <c r="A134" s="4" t="str">
        <f t="shared" si="4"/>
        <v/>
      </c>
      <c r="B134" s="12"/>
      <c r="C134" s="13"/>
      <c r="D134" s="13"/>
      <c r="E134" s="13"/>
      <c r="F134" s="2"/>
      <c r="G134" s="2" t="str">
        <f t="shared" si="5"/>
        <v/>
      </c>
      <c r="H134" s="2"/>
    </row>
    <row r="135" spans="1:8">
      <c r="A135" s="3" t="str">
        <f t="shared" si="4"/>
        <v/>
      </c>
      <c r="B135" s="14"/>
      <c r="C135" s="15"/>
      <c r="D135" s="15"/>
      <c r="E135" s="15"/>
      <c r="F135" s="1"/>
      <c r="G135" s="1" t="str">
        <f t="shared" si="5"/>
        <v/>
      </c>
      <c r="H135" s="1"/>
    </row>
    <row r="136" spans="1:8">
      <c r="A136" s="4" t="str">
        <f t="shared" si="4"/>
        <v/>
      </c>
      <c r="B136" s="12"/>
      <c r="C136" s="13"/>
      <c r="D136" s="13"/>
      <c r="E136" s="13"/>
      <c r="F136" s="2"/>
      <c r="G136" s="2" t="str">
        <f t="shared" si="5"/>
        <v/>
      </c>
      <c r="H136" s="2"/>
    </row>
    <row r="137" spans="1:8">
      <c r="A137" s="3" t="str">
        <f t="shared" si="4"/>
        <v/>
      </c>
      <c r="B137" s="14"/>
      <c r="C137" s="15"/>
      <c r="D137" s="15"/>
      <c r="E137" s="15"/>
      <c r="F137" s="1"/>
      <c r="G137" s="1" t="str">
        <f t="shared" si="5"/>
        <v/>
      </c>
      <c r="H137" s="1"/>
    </row>
    <row r="138" spans="1:8">
      <c r="A138" s="4" t="str">
        <f t="shared" si="4"/>
        <v/>
      </c>
      <c r="B138" s="12"/>
      <c r="C138" s="13"/>
      <c r="D138" s="13"/>
      <c r="E138" s="13"/>
      <c r="F138" s="2"/>
      <c r="G138" s="2" t="str">
        <f t="shared" si="5"/>
        <v/>
      </c>
      <c r="H138" s="2"/>
    </row>
    <row r="139" spans="1:8">
      <c r="A139" s="3" t="str">
        <f t="shared" si="4"/>
        <v/>
      </c>
      <c r="B139" s="14"/>
      <c r="C139" s="15"/>
      <c r="D139" s="15"/>
      <c r="E139" s="15"/>
      <c r="F139" s="1"/>
      <c r="G139" s="1" t="str">
        <f t="shared" si="5"/>
        <v/>
      </c>
      <c r="H139" s="1"/>
    </row>
    <row r="140" spans="1:8">
      <c r="A140" s="4" t="str">
        <f t="shared" si="4"/>
        <v/>
      </c>
      <c r="B140" s="12"/>
      <c r="C140" s="13"/>
      <c r="D140" s="13"/>
      <c r="E140" s="13"/>
      <c r="F140" s="2"/>
      <c r="G140" s="2" t="str">
        <f t="shared" si="5"/>
        <v/>
      </c>
      <c r="H140" s="2"/>
    </row>
    <row r="141" spans="1:8">
      <c r="A141" s="3" t="str">
        <f t="shared" si="4"/>
        <v/>
      </c>
      <c r="B141" s="14"/>
      <c r="C141" s="15"/>
      <c r="D141" s="15"/>
      <c r="E141" s="15"/>
      <c r="F141" s="1"/>
      <c r="G141" s="1" t="str">
        <f t="shared" si="5"/>
        <v/>
      </c>
      <c r="H141" s="1"/>
    </row>
    <row r="142" spans="1:8">
      <c r="A142" s="4" t="str">
        <f t="shared" si="4"/>
        <v/>
      </c>
      <c r="B142" s="12"/>
      <c r="C142" s="13"/>
      <c r="D142" s="13"/>
      <c r="E142" s="13"/>
      <c r="F142" s="2"/>
      <c r="G142" s="2" t="str">
        <f t="shared" si="5"/>
        <v/>
      </c>
      <c r="H142" s="2"/>
    </row>
    <row r="143" spans="1:8">
      <c r="A143" s="3" t="str">
        <f t="shared" si="4"/>
        <v/>
      </c>
      <c r="B143" s="14"/>
      <c r="C143" s="15"/>
      <c r="D143" s="15"/>
      <c r="E143" s="15"/>
      <c r="F143" s="1"/>
      <c r="G143" s="1" t="str">
        <f t="shared" si="5"/>
        <v/>
      </c>
      <c r="H143" s="1"/>
    </row>
    <row r="144" spans="1:8">
      <c r="A144" s="4" t="str">
        <f t="shared" si="4"/>
        <v/>
      </c>
      <c r="B144" s="12"/>
      <c r="C144" s="13"/>
      <c r="D144" s="13"/>
      <c r="E144" s="13"/>
      <c r="F144" s="2"/>
      <c r="G144" s="2" t="str">
        <f t="shared" si="5"/>
        <v/>
      </c>
      <c r="H144" s="2"/>
    </row>
    <row r="145" spans="1:8">
      <c r="A145" s="3" t="str">
        <f t="shared" si="4"/>
        <v/>
      </c>
      <c r="B145" s="14"/>
      <c r="C145" s="15"/>
      <c r="D145" s="15"/>
      <c r="E145" s="15"/>
      <c r="F145" s="1"/>
      <c r="G145" s="1" t="str">
        <f t="shared" si="5"/>
        <v/>
      </c>
      <c r="H145" s="1"/>
    </row>
    <row r="146" spans="1:8">
      <c r="A146" s="4" t="str">
        <f t="shared" si="4"/>
        <v/>
      </c>
      <c r="B146" s="12"/>
      <c r="C146" s="13"/>
      <c r="D146" s="13"/>
      <c r="E146" s="13"/>
      <c r="F146" s="2"/>
      <c r="G146" s="2" t="str">
        <f t="shared" si="5"/>
        <v/>
      </c>
      <c r="H146" s="2"/>
    </row>
    <row r="147" spans="1:8">
      <c r="A147" s="3" t="str">
        <f t="shared" si="4"/>
        <v/>
      </c>
      <c r="B147" s="14"/>
      <c r="C147" s="15"/>
      <c r="D147" s="15"/>
      <c r="E147" s="15"/>
      <c r="F147" s="1"/>
      <c r="G147" s="1" t="str">
        <f t="shared" si="5"/>
        <v/>
      </c>
      <c r="H147" s="1"/>
    </row>
    <row r="148" spans="1:8">
      <c r="A148" s="4" t="str">
        <f t="shared" si="4"/>
        <v/>
      </c>
      <c r="B148" s="12"/>
      <c r="C148" s="13"/>
      <c r="D148" s="13"/>
      <c r="E148" s="13"/>
      <c r="F148" s="2"/>
      <c r="G148" s="2" t="str">
        <f t="shared" si="5"/>
        <v/>
      </c>
      <c r="H148" s="2"/>
    </row>
    <row r="149" spans="1:8">
      <c r="A149" s="3" t="str">
        <f t="shared" si="4"/>
        <v/>
      </c>
      <c r="B149" s="14"/>
      <c r="C149" s="15"/>
      <c r="D149" s="15"/>
      <c r="E149" s="15"/>
      <c r="F149" s="1"/>
      <c r="G149" s="1" t="str">
        <f t="shared" si="5"/>
        <v/>
      </c>
      <c r="H149" s="1"/>
    </row>
    <row r="150" spans="1:8">
      <c r="A150" s="4" t="str">
        <f t="shared" si="4"/>
        <v/>
      </c>
      <c r="B150" s="12"/>
      <c r="C150" s="13"/>
      <c r="D150" s="13"/>
      <c r="E150" s="13"/>
      <c r="F150" s="2"/>
      <c r="G150" s="2" t="str">
        <f t="shared" si="5"/>
        <v/>
      </c>
      <c r="H150" s="2"/>
    </row>
    <row r="151" spans="1:8">
      <c r="A151" s="3" t="str">
        <f t="shared" si="4"/>
        <v/>
      </c>
      <c r="B151" s="14"/>
      <c r="C151" s="15"/>
      <c r="D151" s="15"/>
      <c r="E151" s="15"/>
      <c r="F151" s="1"/>
      <c r="G151" s="1" t="str">
        <f t="shared" si="5"/>
        <v/>
      </c>
      <c r="H151" s="1"/>
    </row>
    <row r="152" spans="1:8">
      <c r="A152" s="4" t="str">
        <f t="shared" si="4"/>
        <v/>
      </c>
      <c r="B152" s="12"/>
      <c r="C152" s="13"/>
      <c r="D152" s="13"/>
      <c r="E152" s="13"/>
      <c r="F152" s="2"/>
      <c r="G152" s="2" t="str">
        <f t="shared" si="5"/>
        <v/>
      </c>
      <c r="H152" s="2"/>
    </row>
    <row r="153" spans="1:8">
      <c r="A153" s="3" t="str">
        <f t="shared" si="4"/>
        <v/>
      </c>
      <c r="B153" s="14"/>
      <c r="C153" s="15"/>
      <c r="D153" s="15"/>
      <c r="E153" s="15"/>
      <c r="F153" s="1"/>
      <c r="G153" s="1" t="str">
        <f t="shared" si="5"/>
        <v/>
      </c>
      <c r="H153" s="1"/>
    </row>
    <row r="154" spans="1:8">
      <c r="A154" s="4" t="str">
        <f t="shared" si="4"/>
        <v/>
      </c>
      <c r="B154" s="12"/>
      <c r="C154" s="13"/>
      <c r="D154" s="13"/>
      <c r="E154" s="13"/>
      <c r="F154" s="2"/>
      <c r="G154" s="2" t="str">
        <f t="shared" si="5"/>
        <v/>
      </c>
      <c r="H154" s="2"/>
    </row>
    <row r="155" spans="1:8">
      <c r="A155" s="3" t="str">
        <f t="shared" si="4"/>
        <v/>
      </c>
      <c r="B155" s="14"/>
      <c r="C155" s="15"/>
      <c r="D155" s="15"/>
      <c r="E155" s="15"/>
      <c r="F155" s="1"/>
      <c r="G155" s="1" t="str">
        <f t="shared" si="5"/>
        <v/>
      </c>
      <c r="H155" s="1"/>
    </row>
    <row r="156" spans="1:8">
      <c r="A156" s="4" t="str">
        <f t="shared" si="4"/>
        <v/>
      </c>
      <c r="B156" s="12"/>
      <c r="C156" s="13"/>
      <c r="D156" s="13"/>
      <c r="E156" s="13"/>
      <c r="F156" s="2"/>
      <c r="G156" s="2" t="str">
        <f t="shared" si="5"/>
        <v/>
      </c>
      <c r="H156" s="2"/>
    </row>
    <row r="157" spans="1:8">
      <c r="A157" s="3" t="str">
        <f t="shared" si="4"/>
        <v/>
      </c>
      <c r="B157" s="14"/>
      <c r="C157" s="15"/>
      <c r="D157" s="15"/>
      <c r="E157" s="15"/>
      <c r="F157" s="1"/>
      <c r="G157" s="1" t="str">
        <f t="shared" si="5"/>
        <v/>
      </c>
      <c r="H157" s="1"/>
    </row>
    <row r="158" spans="1:8">
      <c r="A158" s="4" t="str">
        <f t="shared" si="4"/>
        <v/>
      </c>
      <c r="B158" s="12"/>
      <c r="C158" s="13"/>
      <c r="D158" s="13"/>
      <c r="E158" s="13"/>
      <c r="F158" s="2"/>
      <c r="G158" s="2" t="str">
        <f t="shared" si="5"/>
        <v/>
      </c>
      <c r="H158" s="2"/>
    </row>
    <row r="159" spans="1:8">
      <c r="A159" s="3" t="str">
        <f t="shared" si="4"/>
        <v/>
      </c>
      <c r="B159" s="14"/>
      <c r="C159" s="15"/>
      <c r="D159" s="15"/>
      <c r="E159" s="15"/>
      <c r="F159" s="1"/>
      <c r="G159" s="1" t="str">
        <f t="shared" si="5"/>
        <v/>
      </c>
      <c r="H159" s="1"/>
    </row>
    <row r="160" spans="1:8">
      <c r="A160" s="4" t="str">
        <f t="shared" si="4"/>
        <v/>
      </c>
      <c r="B160" s="12"/>
      <c r="C160" s="13"/>
      <c r="D160" s="13"/>
      <c r="E160" s="13"/>
      <c r="F160" s="2"/>
      <c r="G160" s="2" t="str">
        <f t="shared" si="5"/>
        <v/>
      </c>
      <c r="H160" s="2"/>
    </row>
    <row r="161" spans="1:8">
      <c r="A161" s="3" t="str">
        <f t="shared" si="4"/>
        <v/>
      </c>
      <c r="B161" s="14"/>
      <c r="C161" s="15"/>
      <c r="D161" s="15"/>
      <c r="E161" s="15"/>
      <c r="F161" s="1"/>
      <c r="G161" s="1" t="str">
        <f t="shared" si="5"/>
        <v/>
      </c>
      <c r="H161" s="1"/>
    </row>
    <row r="162" spans="1:8">
      <c r="A162" s="4" t="str">
        <f t="shared" si="4"/>
        <v/>
      </c>
      <c r="B162" s="12"/>
      <c r="C162" s="13"/>
      <c r="D162" s="13"/>
      <c r="E162" s="13"/>
      <c r="F162" s="2"/>
      <c r="G162" s="2" t="str">
        <f t="shared" si="5"/>
        <v/>
      </c>
      <c r="H162" s="2"/>
    </row>
    <row r="163" spans="1:8">
      <c r="A163" s="3" t="str">
        <f t="shared" si="4"/>
        <v/>
      </c>
      <c r="B163" s="14"/>
      <c r="C163" s="15"/>
      <c r="D163" s="15"/>
      <c r="E163" s="15"/>
      <c r="F163" s="1"/>
      <c r="G163" s="1" t="str">
        <f t="shared" si="5"/>
        <v/>
      </c>
      <c r="H163" s="1"/>
    </row>
    <row r="164" spans="1:8">
      <c r="A164" s="4" t="str">
        <f t="shared" si="4"/>
        <v/>
      </c>
      <c r="B164" s="12"/>
      <c r="C164" s="13"/>
      <c r="D164" s="13"/>
      <c r="E164" s="13"/>
      <c r="F164" s="2"/>
      <c r="G164" s="2" t="str">
        <f t="shared" si="5"/>
        <v/>
      </c>
      <c r="H164" s="2"/>
    </row>
    <row r="165" spans="1:8">
      <c r="A165" s="3" t="str">
        <f t="shared" si="4"/>
        <v/>
      </c>
      <c r="B165" s="14"/>
      <c r="C165" s="15"/>
      <c r="D165" s="15"/>
      <c r="E165" s="15"/>
      <c r="F165" s="1"/>
      <c r="G165" s="1" t="str">
        <f t="shared" si="5"/>
        <v/>
      </c>
      <c r="H165" s="1"/>
    </row>
    <row r="166" spans="1:8">
      <c r="A166" s="4" t="str">
        <f t="shared" si="4"/>
        <v/>
      </c>
      <c r="B166" s="12"/>
      <c r="C166" s="13"/>
      <c r="D166" s="13"/>
      <c r="E166" s="13"/>
      <c r="F166" s="2"/>
      <c r="G166" s="2" t="str">
        <f t="shared" si="5"/>
        <v/>
      </c>
      <c r="H166" s="2"/>
    </row>
    <row r="167" spans="1:8">
      <c r="A167" s="3" t="str">
        <f t="shared" si="4"/>
        <v/>
      </c>
      <c r="B167" s="14"/>
      <c r="C167" s="15"/>
      <c r="D167" s="15"/>
      <c r="E167" s="15"/>
      <c r="F167" s="1"/>
      <c r="G167" s="1" t="str">
        <f t="shared" si="5"/>
        <v/>
      </c>
      <c r="H167" s="1"/>
    </row>
    <row r="168" spans="1:8">
      <c r="A168" s="4" t="str">
        <f t="shared" si="4"/>
        <v/>
      </c>
      <c r="B168" s="12"/>
      <c r="C168" s="13"/>
      <c r="D168" s="13"/>
      <c r="E168" s="13"/>
      <c r="F168" s="2"/>
      <c r="G168" s="2" t="str">
        <f t="shared" si="5"/>
        <v/>
      </c>
      <c r="H168" s="2"/>
    </row>
    <row r="169" spans="1:8">
      <c r="A169" s="3" t="str">
        <f t="shared" si="4"/>
        <v/>
      </c>
      <c r="B169" s="14"/>
      <c r="C169" s="15"/>
      <c r="D169" s="15"/>
      <c r="E169" s="15"/>
      <c r="F169" s="1"/>
      <c r="G169" s="1" t="str">
        <f t="shared" si="5"/>
        <v/>
      </c>
      <c r="H169" s="1"/>
    </row>
    <row r="170" spans="1:8">
      <c r="A170" s="4" t="str">
        <f t="shared" si="4"/>
        <v/>
      </c>
      <c r="B170" s="12"/>
      <c r="C170" s="13"/>
      <c r="D170" s="13"/>
      <c r="E170" s="13"/>
      <c r="F170" s="2"/>
      <c r="G170" s="2" t="str">
        <f t="shared" si="5"/>
        <v/>
      </c>
      <c r="H170" s="2"/>
    </row>
    <row r="171" spans="1:8">
      <c r="A171" s="3" t="str">
        <f t="shared" si="4"/>
        <v/>
      </c>
      <c r="B171" s="14"/>
      <c r="C171" s="15"/>
      <c r="D171" s="15"/>
      <c r="E171" s="15"/>
      <c r="F171" s="1"/>
      <c r="G171" s="1" t="str">
        <f t="shared" si="5"/>
        <v/>
      </c>
      <c r="H171" s="1"/>
    </row>
    <row r="172" spans="1:8">
      <c r="A172" s="4" t="str">
        <f t="shared" si="4"/>
        <v/>
      </c>
      <c r="B172" s="12"/>
      <c r="C172" s="13"/>
      <c r="D172" s="13"/>
      <c r="E172" s="13"/>
      <c r="F172" s="2"/>
      <c r="G172" s="2" t="str">
        <f t="shared" si="5"/>
        <v/>
      </c>
      <c r="H172" s="2"/>
    </row>
    <row r="173" spans="1:8">
      <c r="A173" s="3" t="str">
        <f t="shared" si="4"/>
        <v/>
      </c>
      <c r="B173" s="14"/>
      <c r="C173" s="15"/>
      <c r="D173" s="15"/>
      <c r="E173" s="15"/>
      <c r="F173" s="1"/>
      <c r="G173" s="1" t="str">
        <f t="shared" si="5"/>
        <v/>
      </c>
      <c r="H173" s="1"/>
    </row>
    <row r="174" spans="1:8">
      <c r="A174" s="4" t="str">
        <f t="shared" si="4"/>
        <v/>
      </c>
      <c r="B174" s="12"/>
      <c r="C174" s="13"/>
      <c r="D174" s="13"/>
      <c r="E174" s="13"/>
      <c r="F174" s="2"/>
      <c r="G174" s="2" t="str">
        <f t="shared" si="5"/>
        <v/>
      </c>
      <c r="H174" s="2"/>
    </row>
    <row r="175" spans="1:8">
      <c r="A175" s="3" t="str">
        <f t="shared" si="4"/>
        <v/>
      </c>
      <c r="B175" s="14"/>
      <c r="C175" s="15"/>
      <c r="D175" s="15"/>
      <c r="E175" s="15"/>
      <c r="F175" s="1"/>
      <c r="G175" s="1" t="str">
        <f t="shared" si="5"/>
        <v/>
      </c>
      <c r="H175" s="1"/>
    </row>
    <row r="176" spans="1:8">
      <c r="A176" s="4" t="str">
        <f t="shared" si="4"/>
        <v/>
      </c>
      <c r="B176" s="12"/>
      <c r="C176" s="13"/>
      <c r="D176" s="13"/>
      <c r="E176" s="13"/>
      <c r="F176" s="2"/>
      <c r="G176" s="2" t="str">
        <f t="shared" si="5"/>
        <v/>
      </c>
      <c r="H176" s="2"/>
    </row>
    <row r="177" spans="1:8">
      <c r="A177" s="3" t="str">
        <f t="shared" si="4"/>
        <v/>
      </c>
      <c r="B177" s="14"/>
      <c r="C177" s="15"/>
      <c r="D177" s="15"/>
      <c r="E177" s="15"/>
      <c r="F177" s="1"/>
      <c r="G177" s="1" t="str">
        <f t="shared" si="5"/>
        <v/>
      </c>
      <c r="H177" s="1"/>
    </row>
    <row r="178" spans="1:8">
      <c r="A178" s="4" t="str">
        <f t="shared" si="4"/>
        <v/>
      </c>
      <c r="B178" s="12"/>
      <c r="C178" s="13"/>
      <c r="D178" s="13"/>
      <c r="E178" s="13"/>
      <c r="F178" s="2"/>
      <c r="G178" s="2" t="str">
        <f t="shared" si="5"/>
        <v/>
      </c>
      <c r="H178" s="2"/>
    </row>
    <row r="179" spans="1:8">
      <c r="A179" s="3" t="str">
        <f t="shared" si="4"/>
        <v/>
      </c>
      <c r="B179" s="14"/>
      <c r="C179" s="15"/>
      <c r="D179" s="15"/>
      <c r="E179" s="15"/>
      <c r="F179" s="1"/>
      <c r="G179" s="1" t="str">
        <f t="shared" si="5"/>
        <v/>
      </c>
      <c r="H179" s="1"/>
    </row>
    <row r="180" spans="1:8">
      <c r="A180" s="4" t="str">
        <f t="shared" si="4"/>
        <v/>
      </c>
      <c r="B180" s="12"/>
      <c r="C180" s="13"/>
      <c r="D180" s="13"/>
      <c r="E180" s="13"/>
      <c r="F180" s="2"/>
      <c r="G180" s="2" t="str">
        <f t="shared" si="5"/>
        <v/>
      </c>
      <c r="H180" s="2"/>
    </row>
    <row r="181" spans="1:8">
      <c r="A181" s="3" t="str">
        <f t="shared" si="4"/>
        <v/>
      </c>
      <c r="B181" s="14"/>
      <c r="C181" s="15"/>
      <c r="D181" s="15"/>
      <c r="E181" s="15"/>
      <c r="F181" s="1"/>
      <c r="G181" s="1" t="str">
        <f t="shared" si="5"/>
        <v/>
      </c>
      <c r="H181" s="1"/>
    </row>
    <row r="182" spans="1:8">
      <c r="A182" s="4" t="str">
        <f t="shared" si="4"/>
        <v/>
      </c>
      <c r="B182" s="12"/>
      <c r="C182" s="13"/>
      <c r="D182" s="13"/>
      <c r="E182" s="13"/>
      <c r="F182" s="2"/>
      <c r="G182" s="2" t="str">
        <f t="shared" si="5"/>
        <v/>
      </c>
      <c r="H182" s="2"/>
    </row>
    <row r="183" spans="1:8">
      <c r="A183" s="3" t="str">
        <f t="shared" si="4"/>
        <v/>
      </c>
      <c r="B183" s="14"/>
      <c r="C183" s="15"/>
      <c r="D183" s="15"/>
      <c r="E183" s="15"/>
      <c r="F183" s="1"/>
      <c r="G183" s="1" t="str">
        <f t="shared" si="5"/>
        <v/>
      </c>
      <c r="H183" s="1"/>
    </row>
    <row r="184" spans="1:8">
      <c r="A184" s="4" t="str">
        <f t="shared" si="4"/>
        <v/>
      </c>
      <c r="B184" s="12"/>
      <c r="C184" s="13"/>
      <c r="D184" s="13"/>
      <c r="E184" s="13"/>
      <c r="F184" s="2"/>
      <c r="G184" s="2" t="str">
        <f t="shared" si="5"/>
        <v/>
      </c>
      <c r="H184" s="2"/>
    </row>
    <row r="185" spans="1:8">
      <c r="A185" s="3" t="str">
        <f t="shared" si="4"/>
        <v/>
      </c>
      <c r="B185" s="14"/>
      <c r="C185" s="15"/>
      <c r="D185" s="15"/>
      <c r="E185" s="15"/>
      <c r="F185" s="1"/>
      <c r="G185" s="1" t="str">
        <f t="shared" si="5"/>
        <v/>
      </c>
      <c r="H185" s="1"/>
    </row>
    <row r="186" spans="1:8">
      <c r="A186" s="4" t="str">
        <f t="shared" si="4"/>
        <v/>
      </c>
      <c r="B186" s="12"/>
      <c r="C186" s="13"/>
      <c r="D186" s="13"/>
      <c r="E186" s="13"/>
      <c r="F186" s="2"/>
      <c r="G186" s="2" t="str">
        <f t="shared" si="5"/>
        <v/>
      </c>
      <c r="H186" s="2"/>
    </row>
    <row r="187" spans="1:8">
      <c r="A187" s="3" t="str">
        <f t="shared" si="4"/>
        <v/>
      </c>
      <c r="B187" s="14"/>
      <c r="C187" s="15"/>
      <c r="D187" s="15"/>
      <c r="E187" s="15"/>
      <c r="F187" s="1"/>
      <c r="G187" s="1" t="str">
        <f t="shared" si="5"/>
        <v/>
      </c>
      <c r="H187" s="1"/>
    </row>
    <row r="188" spans="1:8">
      <c r="A188" s="4" t="str">
        <f t="shared" si="4"/>
        <v/>
      </c>
      <c r="B188" s="12"/>
      <c r="C188" s="13"/>
      <c r="D188" s="13"/>
      <c r="E188" s="13"/>
      <c r="F188" s="2"/>
      <c r="G188" s="2" t="str">
        <f t="shared" si="5"/>
        <v/>
      </c>
      <c r="H188" s="2"/>
    </row>
    <row r="189" spans="1:8">
      <c r="A189" s="3" t="str">
        <f t="shared" si="4"/>
        <v/>
      </c>
      <c r="B189" s="14"/>
      <c r="C189" s="15"/>
      <c r="D189" s="15"/>
      <c r="E189" s="15"/>
      <c r="F189" s="1"/>
      <c r="G189" s="1" t="str">
        <f t="shared" si="5"/>
        <v/>
      </c>
      <c r="H189" s="1"/>
    </row>
    <row r="190" spans="1:8">
      <c r="A190" s="4" t="str">
        <f t="shared" si="4"/>
        <v/>
      </c>
      <c r="B190" s="12"/>
      <c r="C190" s="13"/>
      <c r="D190" s="13"/>
      <c r="E190" s="13"/>
      <c r="F190" s="2"/>
      <c r="G190" s="2" t="str">
        <f t="shared" si="5"/>
        <v/>
      </c>
      <c r="H190" s="2"/>
    </row>
    <row r="191" spans="1:8">
      <c r="A191" s="3" t="str">
        <f t="shared" si="4"/>
        <v/>
      </c>
      <c r="B191" s="14"/>
      <c r="C191" s="15"/>
      <c r="D191" s="15"/>
      <c r="E191" s="15"/>
      <c r="F191" s="1"/>
      <c r="G191" s="1" t="str">
        <f t="shared" si="5"/>
        <v/>
      </c>
      <c r="H191" s="1"/>
    </row>
    <row r="192" spans="1:8">
      <c r="A192" s="4" t="str">
        <f t="shared" si="4"/>
        <v/>
      </c>
      <c r="B192" s="12"/>
      <c r="C192" s="13"/>
      <c r="D192" s="13"/>
      <c r="E192" s="13"/>
      <c r="F192" s="2"/>
      <c r="G192" s="2" t="str">
        <f t="shared" si="5"/>
        <v/>
      </c>
      <c r="H192" s="2"/>
    </row>
    <row r="193" spans="1:8">
      <c r="A193" s="3" t="str">
        <f t="shared" si="4"/>
        <v/>
      </c>
      <c r="B193" s="14"/>
      <c r="C193" s="15"/>
      <c r="D193" s="15"/>
      <c r="E193" s="15"/>
      <c r="F193" s="1"/>
      <c r="G193" s="1" t="str">
        <f t="shared" si="5"/>
        <v/>
      </c>
      <c r="H193" s="1"/>
    </row>
    <row r="194" spans="1:8">
      <c r="A194" s="4" t="str">
        <f t="shared" si="4"/>
        <v/>
      </c>
      <c r="B194" s="12"/>
      <c r="C194" s="13"/>
      <c r="D194" s="13"/>
      <c r="E194" s="13"/>
      <c r="F194" s="2"/>
      <c r="G194" s="2" t="str">
        <f t="shared" si="5"/>
        <v/>
      </c>
      <c r="H194" s="2"/>
    </row>
    <row r="195" spans="1:8">
      <c r="A195" s="3" t="str">
        <f t="shared" si="4"/>
        <v/>
      </c>
      <c r="B195" s="14"/>
      <c r="C195" s="15"/>
      <c r="D195" s="15"/>
      <c r="E195" s="15"/>
      <c r="F195" s="1"/>
      <c r="G195" s="1" t="str">
        <f t="shared" si="5"/>
        <v/>
      </c>
      <c r="H195" s="1"/>
    </row>
    <row r="196" spans="1:8">
      <c r="A196" s="4" t="str">
        <f t="shared" si="4"/>
        <v/>
      </c>
      <c r="B196" s="12"/>
      <c r="C196" s="13"/>
      <c r="D196" s="13"/>
      <c r="E196" s="13"/>
      <c r="F196" s="2"/>
      <c r="G196" s="2" t="str">
        <f t="shared" si="5"/>
        <v/>
      </c>
      <c r="H196" s="2"/>
    </row>
    <row r="197" spans="1:8">
      <c r="A197" s="3" t="str">
        <f t="shared" ref="A197:A260" si="6">IF(B197="","",ROW()-4)</f>
        <v/>
      </c>
      <c r="B197" s="14"/>
      <c r="C197" s="15"/>
      <c r="D197" s="15"/>
      <c r="E197" s="15"/>
      <c r="F197" s="1"/>
      <c r="G197" s="1" t="str">
        <f t="shared" ref="G197:G260" si="7">IF(B197="","","UNPAID")</f>
        <v/>
      </c>
      <c r="H197" s="1"/>
    </row>
    <row r="198" spans="1:8">
      <c r="A198" s="4" t="str">
        <f t="shared" si="6"/>
        <v/>
      </c>
      <c r="B198" s="12"/>
      <c r="C198" s="13"/>
      <c r="D198" s="13"/>
      <c r="E198" s="13"/>
      <c r="F198" s="2"/>
      <c r="G198" s="2" t="str">
        <f t="shared" si="7"/>
        <v/>
      </c>
      <c r="H198" s="2"/>
    </row>
    <row r="199" spans="1:8">
      <c r="A199" s="3" t="str">
        <f t="shared" si="6"/>
        <v/>
      </c>
      <c r="B199" s="14"/>
      <c r="C199" s="15"/>
      <c r="D199" s="15"/>
      <c r="E199" s="15"/>
      <c r="F199" s="1"/>
      <c r="G199" s="1" t="str">
        <f t="shared" si="7"/>
        <v/>
      </c>
      <c r="H199" s="1"/>
    </row>
    <row r="200" spans="1:8">
      <c r="A200" s="4" t="str">
        <f t="shared" si="6"/>
        <v/>
      </c>
      <c r="B200" s="12"/>
      <c r="C200" s="13"/>
      <c r="D200" s="13"/>
      <c r="E200" s="13"/>
      <c r="F200" s="2"/>
      <c r="G200" s="2" t="str">
        <f t="shared" si="7"/>
        <v/>
      </c>
      <c r="H200" s="2"/>
    </row>
    <row r="201" spans="1:8">
      <c r="A201" s="3" t="str">
        <f t="shared" si="6"/>
        <v/>
      </c>
      <c r="B201" s="14"/>
      <c r="C201" s="15"/>
      <c r="D201" s="15"/>
      <c r="E201" s="15"/>
      <c r="F201" s="1"/>
      <c r="G201" s="1" t="str">
        <f t="shared" si="7"/>
        <v/>
      </c>
      <c r="H201" s="1"/>
    </row>
    <row r="202" spans="1:8">
      <c r="A202" s="4" t="str">
        <f t="shared" si="6"/>
        <v/>
      </c>
      <c r="B202" s="12"/>
      <c r="C202" s="13"/>
      <c r="D202" s="13"/>
      <c r="E202" s="13"/>
      <c r="F202" s="2"/>
      <c r="G202" s="2" t="str">
        <f t="shared" si="7"/>
        <v/>
      </c>
      <c r="H202" s="2"/>
    </row>
    <row r="203" spans="1:8">
      <c r="A203" s="3" t="str">
        <f t="shared" si="6"/>
        <v/>
      </c>
      <c r="B203" s="14"/>
      <c r="C203" s="15"/>
      <c r="D203" s="15"/>
      <c r="E203" s="15"/>
      <c r="F203" s="1"/>
      <c r="G203" s="1" t="str">
        <f t="shared" si="7"/>
        <v/>
      </c>
      <c r="H203" s="1"/>
    </row>
    <row r="204" spans="1:8">
      <c r="A204" s="4" t="str">
        <f t="shared" si="6"/>
        <v/>
      </c>
      <c r="B204" s="12"/>
      <c r="C204" s="13"/>
      <c r="D204" s="13"/>
      <c r="E204" s="13"/>
      <c r="F204" s="2"/>
      <c r="G204" s="2" t="str">
        <f t="shared" si="7"/>
        <v/>
      </c>
      <c r="H204" s="2"/>
    </row>
    <row r="205" spans="1:8">
      <c r="A205" s="3" t="str">
        <f t="shared" si="6"/>
        <v/>
      </c>
      <c r="B205" s="14"/>
      <c r="C205" s="15"/>
      <c r="D205" s="15"/>
      <c r="E205" s="15"/>
      <c r="F205" s="1"/>
      <c r="G205" s="1" t="str">
        <f t="shared" si="7"/>
        <v/>
      </c>
      <c r="H205" s="1"/>
    </row>
    <row r="206" spans="1:8">
      <c r="A206" s="4" t="str">
        <f t="shared" si="6"/>
        <v/>
      </c>
      <c r="B206" s="12"/>
      <c r="C206" s="13"/>
      <c r="D206" s="13"/>
      <c r="E206" s="13"/>
      <c r="F206" s="2"/>
      <c r="G206" s="2" t="str">
        <f t="shared" si="7"/>
        <v/>
      </c>
      <c r="H206" s="2"/>
    </row>
    <row r="207" spans="1:8">
      <c r="A207" s="3" t="str">
        <f t="shared" si="6"/>
        <v/>
      </c>
      <c r="B207" s="14"/>
      <c r="C207" s="15"/>
      <c r="D207" s="15"/>
      <c r="E207" s="15"/>
      <c r="F207" s="1"/>
      <c r="G207" s="1" t="str">
        <f t="shared" si="7"/>
        <v/>
      </c>
      <c r="H207" s="1"/>
    </row>
    <row r="208" spans="1:8">
      <c r="A208" s="4" t="str">
        <f t="shared" si="6"/>
        <v/>
      </c>
      <c r="B208" s="12"/>
      <c r="C208" s="13"/>
      <c r="D208" s="13"/>
      <c r="E208" s="13"/>
      <c r="F208" s="2"/>
      <c r="G208" s="2" t="str">
        <f t="shared" si="7"/>
        <v/>
      </c>
      <c r="H208" s="2"/>
    </row>
    <row r="209" spans="1:8">
      <c r="A209" s="3" t="str">
        <f t="shared" si="6"/>
        <v/>
      </c>
      <c r="B209" s="14"/>
      <c r="C209" s="15"/>
      <c r="D209" s="15"/>
      <c r="E209" s="15"/>
      <c r="F209" s="1"/>
      <c r="G209" s="1" t="str">
        <f t="shared" si="7"/>
        <v/>
      </c>
      <c r="H209" s="1"/>
    </row>
    <row r="210" spans="1:8">
      <c r="A210" s="4" t="str">
        <f t="shared" si="6"/>
        <v/>
      </c>
      <c r="B210" s="12"/>
      <c r="C210" s="13"/>
      <c r="D210" s="13"/>
      <c r="E210" s="13"/>
      <c r="F210" s="2"/>
      <c r="G210" s="2" t="str">
        <f t="shared" si="7"/>
        <v/>
      </c>
      <c r="H210" s="2"/>
    </row>
    <row r="211" spans="1:8">
      <c r="A211" s="3" t="str">
        <f t="shared" si="6"/>
        <v/>
      </c>
      <c r="B211" s="14"/>
      <c r="C211" s="15"/>
      <c r="D211" s="15"/>
      <c r="E211" s="15"/>
      <c r="F211" s="1"/>
      <c r="G211" s="1" t="str">
        <f t="shared" si="7"/>
        <v/>
      </c>
      <c r="H211" s="1"/>
    </row>
    <row r="212" spans="1:8">
      <c r="A212" s="4" t="str">
        <f t="shared" si="6"/>
        <v/>
      </c>
      <c r="B212" s="12"/>
      <c r="C212" s="13"/>
      <c r="D212" s="13"/>
      <c r="E212" s="13"/>
      <c r="F212" s="2"/>
      <c r="G212" s="2" t="str">
        <f t="shared" si="7"/>
        <v/>
      </c>
      <c r="H212" s="2"/>
    </row>
    <row r="213" spans="1:8">
      <c r="A213" s="3" t="str">
        <f t="shared" si="6"/>
        <v/>
      </c>
      <c r="B213" s="14"/>
      <c r="C213" s="15"/>
      <c r="D213" s="15"/>
      <c r="E213" s="15"/>
      <c r="F213" s="1"/>
      <c r="G213" s="1" t="str">
        <f t="shared" si="7"/>
        <v/>
      </c>
      <c r="H213" s="1"/>
    </row>
    <row r="214" spans="1:8">
      <c r="A214" s="4" t="str">
        <f t="shared" si="6"/>
        <v/>
      </c>
      <c r="B214" s="12"/>
      <c r="C214" s="13"/>
      <c r="D214" s="13"/>
      <c r="E214" s="13"/>
      <c r="F214" s="2"/>
      <c r="G214" s="2" t="str">
        <f t="shared" si="7"/>
        <v/>
      </c>
      <c r="H214" s="2"/>
    </row>
    <row r="215" spans="1:8">
      <c r="A215" s="3" t="str">
        <f t="shared" si="6"/>
        <v/>
      </c>
      <c r="B215" s="14"/>
      <c r="C215" s="15"/>
      <c r="D215" s="15"/>
      <c r="E215" s="15"/>
      <c r="F215" s="1"/>
      <c r="G215" s="1" t="str">
        <f t="shared" si="7"/>
        <v/>
      </c>
      <c r="H215" s="1"/>
    </row>
    <row r="216" spans="1:8">
      <c r="A216" s="4" t="str">
        <f t="shared" si="6"/>
        <v/>
      </c>
      <c r="B216" s="12"/>
      <c r="C216" s="13"/>
      <c r="D216" s="13"/>
      <c r="E216" s="13"/>
      <c r="F216" s="2"/>
      <c r="G216" s="2" t="str">
        <f t="shared" si="7"/>
        <v/>
      </c>
      <c r="H216" s="2"/>
    </row>
    <row r="217" spans="1:8">
      <c r="A217" s="3" t="str">
        <f t="shared" si="6"/>
        <v/>
      </c>
      <c r="B217" s="14"/>
      <c r="C217" s="15"/>
      <c r="D217" s="15"/>
      <c r="E217" s="15"/>
      <c r="F217" s="1"/>
      <c r="G217" s="1" t="str">
        <f t="shared" si="7"/>
        <v/>
      </c>
      <c r="H217" s="1"/>
    </row>
    <row r="218" spans="1:8">
      <c r="A218" s="4" t="str">
        <f t="shared" si="6"/>
        <v/>
      </c>
      <c r="B218" s="12"/>
      <c r="C218" s="13"/>
      <c r="D218" s="13"/>
      <c r="E218" s="13"/>
      <c r="F218" s="2"/>
      <c r="G218" s="2" t="str">
        <f t="shared" si="7"/>
        <v/>
      </c>
      <c r="H218" s="2"/>
    </row>
    <row r="219" spans="1:8">
      <c r="A219" s="3" t="str">
        <f t="shared" si="6"/>
        <v/>
      </c>
      <c r="B219" s="14"/>
      <c r="C219" s="15"/>
      <c r="D219" s="15"/>
      <c r="E219" s="15"/>
      <c r="F219" s="1"/>
      <c r="G219" s="1" t="str">
        <f t="shared" si="7"/>
        <v/>
      </c>
      <c r="H219" s="1"/>
    </row>
    <row r="220" spans="1:8">
      <c r="A220" s="4" t="str">
        <f t="shared" si="6"/>
        <v/>
      </c>
      <c r="B220" s="12"/>
      <c r="C220" s="13"/>
      <c r="D220" s="13"/>
      <c r="E220" s="13"/>
      <c r="F220" s="2"/>
      <c r="G220" s="2" t="str">
        <f t="shared" si="7"/>
        <v/>
      </c>
      <c r="H220" s="2"/>
    </row>
    <row r="221" spans="1:8">
      <c r="A221" s="3" t="str">
        <f t="shared" si="6"/>
        <v/>
      </c>
      <c r="B221" s="14"/>
      <c r="C221" s="15"/>
      <c r="D221" s="15"/>
      <c r="E221" s="15"/>
      <c r="F221" s="1"/>
      <c r="G221" s="1" t="str">
        <f t="shared" si="7"/>
        <v/>
      </c>
      <c r="H221" s="1"/>
    </row>
    <row r="222" spans="1:8">
      <c r="A222" s="4" t="str">
        <f t="shared" si="6"/>
        <v/>
      </c>
      <c r="B222" s="12"/>
      <c r="C222" s="13"/>
      <c r="D222" s="13"/>
      <c r="E222" s="13"/>
      <c r="F222" s="2"/>
      <c r="G222" s="2" t="str">
        <f t="shared" si="7"/>
        <v/>
      </c>
      <c r="H222" s="2"/>
    </row>
    <row r="223" spans="1:8">
      <c r="A223" s="3" t="str">
        <f t="shared" si="6"/>
        <v/>
      </c>
      <c r="B223" s="14"/>
      <c r="C223" s="15"/>
      <c r="D223" s="15"/>
      <c r="E223" s="15"/>
      <c r="F223" s="1"/>
      <c r="G223" s="1" t="str">
        <f t="shared" si="7"/>
        <v/>
      </c>
      <c r="H223" s="1"/>
    </row>
    <row r="224" spans="1:8">
      <c r="A224" s="4" t="str">
        <f t="shared" si="6"/>
        <v/>
      </c>
      <c r="B224" s="12"/>
      <c r="C224" s="13"/>
      <c r="D224" s="13"/>
      <c r="E224" s="13"/>
      <c r="F224" s="2"/>
      <c r="G224" s="2" t="str">
        <f t="shared" si="7"/>
        <v/>
      </c>
      <c r="H224" s="2"/>
    </row>
    <row r="225" spans="1:8">
      <c r="A225" s="3" t="str">
        <f t="shared" si="6"/>
        <v/>
      </c>
      <c r="B225" s="14"/>
      <c r="C225" s="15"/>
      <c r="D225" s="15"/>
      <c r="E225" s="15"/>
      <c r="F225" s="1"/>
      <c r="G225" s="1" t="str">
        <f t="shared" si="7"/>
        <v/>
      </c>
      <c r="H225" s="1"/>
    </row>
    <row r="226" spans="1:8">
      <c r="A226" s="4" t="str">
        <f t="shared" si="6"/>
        <v/>
      </c>
      <c r="B226" s="12"/>
      <c r="C226" s="13"/>
      <c r="D226" s="13"/>
      <c r="E226" s="13"/>
      <c r="F226" s="2"/>
      <c r="G226" s="2" t="str">
        <f t="shared" si="7"/>
        <v/>
      </c>
      <c r="H226" s="2"/>
    </row>
    <row r="227" spans="1:8">
      <c r="A227" s="3" t="str">
        <f t="shared" si="6"/>
        <v/>
      </c>
      <c r="B227" s="14"/>
      <c r="C227" s="15"/>
      <c r="D227" s="15"/>
      <c r="E227" s="15"/>
      <c r="F227" s="1"/>
      <c r="G227" s="1" t="str">
        <f t="shared" si="7"/>
        <v/>
      </c>
      <c r="H227" s="1"/>
    </row>
    <row r="228" spans="1:8">
      <c r="A228" s="4" t="str">
        <f t="shared" si="6"/>
        <v/>
      </c>
      <c r="B228" s="12"/>
      <c r="C228" s="13"/>
      <c r="D228" s="13"/>
      <c r="E228" s="13"/>
      <c r="F228" s="2"/>
      <c r="G228" s="2" t="str">
        <f t="shared" si="7"/>
        <v/>
      </c>
      <c r="H228" s="2"/>
    </row>
    <row r="229" spans="1:8">
      <c r="A229" s="3" t="str">
        <f t="shared" si="6"/>
        <v/>
      </c>
      <c r="B229" s="14"/>
      <c r="C229" s="15"/>
      <c r="D229" s="15"/>
      <c r="E229" s="15"/>
      <c r="F229" s="1"/>
      <c r="G229" s="1" t="str">
        <f t="shared" si="7"/>
        <v/>
      </c>
      <c r="H229" s="1"/>
    </row>
    <row r="230" spans="1:8">
      <c r="A230" s="4" t="str">
        <f t="shared" si="6"/>
        <v/>
      </c>
      <c r="B230" s="12"/>
      <c r="C230" s="13"/>
      <c r="D230" s="13"/>
      <c r="E230" s="13"/>
      <c r="F230" s="2"/>
      <c r="G230" s="2" t="str">
        <f t="shared" si="7"/>
        <v/>
      </c>
      <c r="H230" s="2"/>
    </row>
    <row r="231" spans="1:8">
      <c r="A231" s="3" t="str">
        <f t="shared" si="6"/>
        <v/>
      </c>
      <c r="B231" s="14"/>
      <c r="C231" s="15"/>
      <c r="D231" s="15"/>
      <c r="E231" s="15"/>
      <c r="F231" s="1"/>
      <c r="G231" s="1" t="str">
        <f t="shared" si="7"/>
        <v/>
      </c>
      <c r="H231" s="1"/>
    </row>
    <row r="232" spans="1:8">
      <c r="A232" s="4" t="str">
        <f t="shared" si="6"/>
        <v/>
      </c>
      <c r="B232" s="12"/>
      <c r="C232" s="13"/>
      <c r="D232" s="13"/>
      <c r="E232" s="13"/>
      <c r="F232" s="2"/>
      <c r="G232" s="2" t="str">
        <f t="shared" si="7"/>
        <v/>
      </c>
      <c r="H232" s="2"/>
    </row>
    <row r="233" spans="1:8">
      <c r="A233" s="3" t="str">
        <f t="shared" si="6"/>
        <v/>
      </c>
      <c r="B233" s="14"/>
      <c r="C233" s="15"/>
      <c r="D233" s="15"/>
      <c r="E233" s="15"/>
      <c r="F233" s="1"/>
      <c r="G233" s="1" t="str">
        <f t="shared" si="7"/>
        <v/>
      </c>
      <c r="H233" s="1"/>
    </row>
    <row r="234" spans="1:8">
      <c r="A234" s="4" t="str">
        <f t="shared" si="6"/>
        <v/>
      </c>
      <c r="B234" s="12"/>
      <c r="C234" s="13"/>
      <c r="D234" s="13"/>
      <c r="E234" s="13"/>
      <c r="F234" s="2"/>
      <c r="G234" s="2" t="str">
        <f t="shared" si="7"/>
        <v/>
      </c>
      <c r="H234" s="2"/>
    </row>
    <row r="235" spans="1:8">
      <c r="A235" s="3" t="str">
        <f t="shared" si="6"/>
        <v/>
      </c>
      <c r="B235" s="14"/>
      <c r="C235" s="15"/>
      <c r="D235" s="15"/>
      <c r="E235" s="15"/>
      <c r="F235" s="1"/>
      <c r="G235" s="1" t="str">
        <f t="shared" si="7"/>
        <v/>
      </c>
      <c r="H235" s="1"/>
    </row>
    <row r="236" spans="1:8">
      <c r="A236" s="4" t="str">
        <f t="shared" si="6"/>
        <v/>
      </c>
      <c r="B236" s="12"/>
      <c r="C236" s="13"/>
      <c r="D236" s="13"/>
      <c r="E236" s="13"/>
      <c r="F236" s="2"/>
      <c r="G236" s="2" t="str">
        <f t="shared" si="7"/>
        <v/>
      </c>
      <c r="H236" s="2"/>
    </row>
    <row r="237" spans="1:8">
      <c r="A237" s="3" t="str">
        <f t="shared" si="6"/>
        <v/>
      </c>
      <c r="B237" s="14"/>
      <c r="C237" s="15"/>
      <c r="D237" s="15"/>
      <c r="E237" s="15"/>
      <c r="F237" s="1"/>
      <c r="G237" s="1" t="str">
        <f t="shared" si="7"/>
        <v/>
      </c>
      <c r="H237" s="1"/>
    </row>
    <row r="238" spans="1:8">
      <c r="A238" s="4" t="str">
        <f t="shared" si="6"/>
        <v/>
      </c>
      <c r="B238" s="12"/>
      <c r="C238" s="13"/>
      <c r="D238" s="13"/>
      <c r="E238" s="13"/>
      <c r="F238" s="2"/>
      <c r="G238" s="2" t="str">
        <f t="shared" si="7"/>
        <v/>
      </c>
      <c r="H238" s="2"/>
    </row>
    <row r="239" spans="1:8">
      <c r="A239" s="3" t="str">
        <f t="shared" si="6"/>
        <v/>
      </c>
      <c r="B239" s="14"/>
      <c r="C239" s="15"/>
      <c r="D239" s="15"/>
      <c r="E239" s="15"/>
      <c r="F239" s="1"/>
      <c r="G239" s="1" t="str">
        <f t="shared" si="7"/>
        <v/>
      </c>
      <c r="H239" s="1"/>
    </row>
    <row r="240" spans="1:8">
      <c r="A240" s="4" t="str">
        <f t="shared" si="6"/>
        <v/>
      </c>
      <c r="B240" s="12"/>
      <c r="C240" s="13"/>
      <c r="D240" s="13"/>
      <c r="E240" s="13"/>
      <c r="F240" s="2"/>
      <c r="G240" s="2" t="str">
        <f t="shared" si="7"/>
        <v/>
      </c>
      <c r="H240" s="2"/>
    </row>
    <row r="241" spans="1:8">
      <c r="A241" s="3" t="str">
        <f t="shared" si="6"/>
        <v/>
      </c>
      <c r="B241" s="14"/>
      <c r="C241" s="15"/>
      <c r="D241" s="15"/>
      <c r="E241" s="15"/>
      <c r="F241" s="1"/>
      <c r="G241" s="1" t="str">
        <f t="shared" si="7"/>
        <v/>
      </c>
      <c r="H241" s="1"/>
    </row>
    <row r="242" spans="1:8">
      <c r="A242" s="4" t="str">
        <f t="shared" si="6"/>
        <v/>
      </c>
      <c r="B242" s="12"/>
      <c r="C242" s="13"/>
      <c r="D242" s="13"/>
      <c r="E242" s="13"/>
      <c r="F242" s="2"/>
      <c r="G242" s="2" t="str">
        <f t="shared" si="7"/>
        <v/>
      </c>
      <c r="H242" s="2"/>
    </row>
    <row r="243" spans="1:8">
      <c r="A243" s="3" t="str">
        <f t="shared" si="6"/>
        <v/>
      </c>
      <c r="B243" s="14"/>
      <c r="C243" s="15"/>
      <c r="D243" s="15"/>
      <c r="E243" s="15"/>
      <c r="F243" s="1"/>
      <c r="G243" s="1" t="str">
        <f t="shared" si="7"/>
        <v/>
      </c>
      <c r="H243" s="1"/>
    </row>
    <row r="244" spans="1:8">
      <c r="A244" s="4" t="str">
        <f t="shared" si="6"/>
        <v/>
      </c>
      <c r="B244" s="12"/>
      <c r="C244" s="13"/>
      <c r="D244" s="13"/>
      <c r="E244" s="13"/>
      <c r="F244" s="2"/>
      <c r="G244" s="2" t="str">
        <f t="shared" si="7"/>
        <v/>
      </c>
      <c r="H244" s="2"/>
    </row>
    <row r="245" spans="1:8">
      <c r="A245" s="3" t="str">
        <f t="shared" si="6"/>
        <v/>
      </c>
      <c r="B245" s="14"/>
      <c r="C245" s="15"/>
      <c r="D245" s="15"/>
      <c r="E245" s="15"/>
      <c r="F245" s="1"/>
      <c r="G245" s="1" t="str">
        <f t="shared" si="7"/>
        <v/>
      </c>
      <c r="H245" s="1"/>
    </row>
    <row r="246" spans="1:8">
      <c r="A246" s="4" t="str">
        <f t="shared" si="6"/>
        <v/>
      </c>
      <c r="B246" s="12"/>
      <c r="C246" s="13"/>
      <c r="D246" s="13"/>
      <c r="E246" s="13"/>
      <c r="F246" s="2"/>
      <c r="G246" s="2" t="str">
        <f t="shared" si="7"/>
        <v/>
      </c>
      <c r="H246" s="2"/>
    </row>
    <row r="247" spans="1:8">
      <c r="A247" s="3" t="str">
        <f t="shared" si="6"/>
        <v/>
      </c>
      <c r="B247" s="14"/>
      <c r="C247" s="15"/>
      <c r="D247" s="15"/>
      <c r="E247" s="15"/>
      <c r="F247" s="1"/>
      <c r="G247" s="1" t="str">
        <f t="shared" si="7"/>
        <v/>
      </c>
      <c r="H247" s="1"/>
    </row>
    <row r="248" spans="1:8">
      <c r="A248" s="4" t="str">
        <f t="shared" si="6"/>
        <v/>
      </c>
      <c r="B248" s="12"/>
      <c r="C248" s="13"/>
      <c r="D248" s="13"/>
      <c r="E248" s="13"/>
      <c r="F248" s="2"/>
      <c r="G248" s="2" t="str">
        <f t="shared" si="7"/>
        <v/>
      </c>
      <c r="H248" s="2"/>
    </row>
    <row r="249" spans="1:8">
      <c r="A249" s="3" t="str">
        <f t="shared" si="6"/>
        <v/>
      </c>
      <c r="B249" s="14"/>
      <c r="C249" s="15"/>
      <c r="D249" s="15"/>
      <c r="E249" s="15"/>
      <c r="F249" s="1"/>
      <c r="G249" s="1" t="str">
        <f t="shared" si="7"/>
        <v/>
      </c>
      <c r="H249" s="1"/>
    </row>
    <row r="250" spans="1:8">
      <c r="A250" s="4" t="str">
        <f t="shared" si="6"/>
        <v/>
      </c>
      <c r="B250" s="12"/>
      <c r="C250" s="13"/>
      <c r="D250" s="13"/>
      <c r="E250" s="13"/>
      <c r="F250" s="2"/>
      <c r="G250" s="2" t="str">
        <f t="shared" si="7"/>
        <v/>
      </c>
      <c r="H250" s="2"/>
    </row>
    <row r="251" spans="1:8">
      <c r="A251" s="3" t="str">
        <f t="shared" si="6"/>
        <v/>
      </c>
      <c r="B251" s="14"/>
      <c r="C251" s="15"/>
      <c r="D251" s="15"/>
      <c r="E251" s="15"/>
      <c r="F251" s="1"/>
      <c r="G251" s="1" t="str">
        <f t="shared" si="7"/>
        <v/>
      </c>
      <c r="H251" s="1"/>
    </row>
    <row r="252" spans="1:8">
      <c r="A252" s="4" t="str">
        <f t="shared" si="6"/>
        <v/>
      </c>
      <c r="B252" s="12"/>
      <c r="C252" s="13"/>
      <c r="D252" s="13"/>
      <c r="E252" s="13"/>
      <c r="F252" s="2"/>
      <c r="G252" s="2" t="str">
        <f t="shared" si="7"/>
        <v/>
      </c>
      <c r="H252" s="2"/>
    </row>
    <row r="253" spans="1:8">
      <c r="A253" s="3" t="str">
        <f t="shared" si="6"/>
        <v/>
      </c>
      <c r="B253" s="14"/>
      <c r="C253" s="15"/>
      <c r="D253" s="15"/>
      <c r="E253" s="15"/>
      <c r="F253" s="1"/>
      <c r="G253" s="1" t="str">
        <f t="shared" si="7"/>
        <v/>
      </c>
      <c r="H253" s="1"/>
    </row>
    <row r="254" spans="1:8">
      <c r="A254" s="4" t="str">
        <f t="shared" si="6"/>
        <v/>
      </c>
      <c r="B254" s="12"/>
      <c r="C254" s="13"/>
      <c r="D254" s="13"/>
      <c r="E254" s="13"/>
      <c r="F254" s="2"/>
      <c r="G254" s="2" t="str">
        <f t="shared" si="7"/>
        <v/>
      </c>
      <c r="H254" s="2"/>
    </row>
    <row r="255" spans="1:8">
      <c r="A255" s="3" t="str">
        <f t="shared" si="6"/>
        <v/>
      </c>
      <c r="B255" s="14"/>
      <c r="C255" s="15"/>
      <c r="D255" s="15"/>
      <c r="E255" s="15"/>
      <c r="F255" s="1"/>
      <c r="G255" s="1" t="str">
        <f t="shared" si="7"/>
        <v/>
      </c>
      <c r="H255" s="1"/>
    </row>
    <row r="256" spans="1:8">
      <c r="A256" s="4" t="str">
        <f t="shared" si="6"/>
        <v/>
      </c>
      <c r="B256" s="12"/>
      <c r="C256" s="13"/>
      <c r="D256" s="13"/>
      <c r="E256" s="13"/>
      <c r="F256" s="2"/>
      <c r="G256" s="2" t="str">
        <f t="shared" si="7"/>
        <v/>
      </c>
      <c r="H256" s="2"/>
    </row>
    <row r="257" spans="1:8">
      <c r="A257" s="3" t="str">
        <f t="shared" si="6"/>
        <v/>
      </c>
      <c r="B257" s="14"/>
      <c r="C257" s="15"/>
      <c r="D257" s="15"/>
      <c r="E257" s="15"/>
      <c r="F257" s="1"/>
      <c r="G257" s="1" t="str">
        <f t="shared" si="7"/>
        <v/>
      </c>
      <c r="H257" s="1"/>
    </row>
    <row r="258" spans="1:8">
      <c r="A258" s="4" t="str">
        <f t="shared" si="6"/>
        <v/>
      </c>
      <c r="B258" s="12"/>
      <c r="C258" s="13"/>
      <c r="D258" s="13"/>
      <c r="E258" s="13"/>
      <c r="F258" s="2"/>
      <c r="G258" s="2" t="str">
        <f t="shared" si="7"/>
        <v/>
      </c>
      <c r="H258" s="2"/>
    </row>
    <row r="259" spans="1:8">
      <c r="A259" s="3" t="str">
        <f t="shared" si="6"/>
        <v/>
      </c>
      <c r="B259" s="14"/>
      <c r="C259" s="15"/>
      <c r="D259" s="15"/>
      <c r="E259" s="15"/>
      <c r="F259" s="1"/>
      <c r="G259" s="1" t="str">
        <f t="shared" si="7"/>
        <v/>
      </c>
      <c r="H259" s="1"/>
    </row>
    <row r="260" spans="1:8">
      <c r="A260" s="4" t="str">
        <f t="shared" si="6"/>
        <v/>
      </c>
      <c r="B260" s="12"/>
      <c r="C260" s="13"/>
      <c r="D260" s="13"/>
      <c r="E260" s="13"/>
      <c r="F260" s="2"/>
      <c r="G260" s="2" t="str">
        <f t="shared" si="7"/>
        <v/>
      </c>
      <c r="H260" s="2"/>
    </row>
    <row r="261" spans="1:8">
      <c r="A261" s="3" t="str">
        <f t="shared" ref="A261:A324" si="8">IF(B261="","",ROW()-4)</f>
        <v/>
      </c>
      <c r="B261" s="14"/>
      <c r="C261" s="15"/>
      <c r="D261" s="15"/>
      <c r="E261" s="15"/>
      <c r="F261" s="1"/>
      <c r="G261" s="1" t="str">
        <f t="shared" ref="G261:G324" si="9">IF(B261="","","UNPAID")</f>
        <v/>
      </c>
      <c r="H261" s="1"/>
    </row>
    <row r="262" spans="1:8">
      <c r="A262" s="4" t="str">
        <f t="shared" si="8"/>
        <v/>
      </c>
      <c r="B262" s="12"/>
      <c r="C262" s="13"/>
      <c r="D262" s="13"/>
      <c r="E262" s="13"/>
      <c r="F262" s="2"/>
      <c r="G262" s="2" t="str">
        <f t="shared" si="9"/>
        <v/>
      </c>
      <c r="H262" s="2"/>
    </row>
    <row r="263" spans="1:8">
      <c r="A263" s="3" t="str">
        <f t="shared" si="8"/>
        <v/>
      </c>
      <c r="B263" s="14"/>
      <c r="C263" s="15"/>
      <c r="D263" s="15"/>
      <c r="E263" s="15"/>
      <c r="F263" s="1"/>
      <c r="G263" s="1" t="str">
        <f t="shared" si="9"/>
        <v/>
      </c>
      <c r="H263" s="1"/>
    </row>
    <row r="264" spans="1:8">
      <c r="A264" s="4" t="str">
        <f t="shared" si="8"/>
        <v/>
      </c>
      <c r="B264" s="12"/>
      <c r="C264" s="13"/>
      <c r="D264" s="13"/>
      <c r="E264" s="13"/>
      <c r="F264" s="2"/>
      <c r="G264" s="2" t="str">
        <f t="shared" si="9"/>
        <v/>
      </c>
      <c r="H264" s="2"/>
    </row>
    <row r="265" spans="1:8">
      <c r="A265" s="3" t="str">
        <f t="shared" si="8"/>
        <v/>
      </c>
      <c r="B265" s="14"/>
      <c r="C265" s="15"/>
      <c r="D265" s="15"/>
      <c r="E265" s="15"/>
      <c r="F265" s="1"/>
      <c r="G265" s="1" t="str">
        <f t="shared" si="9"/>
        <v/>
      </c>
      <c r="H265" s="1"/>
    </row>
    <row r="266" spans="1:8">
      <c r="A266" s="4" t="str">
        <f t="shared" si="8"/>
        <v/>
      </c>
      <c r="B266" s="12"/>
      <c r="C266" s="13"/>
      <c r="D266" s="13"/>
      <c r="E266" s="13"/>
      <c r="F266" s="2"/>
      <c r="G266" s="2" t="str">
        <f t="shared" si="9"/>
        <v/>
      </c>
      <c r="H266" s="2"/>
    </row>
    <row r="267" spans="1:8">
      <c r="A267" s="3" t="str">
        <f t="shared" si="8"/>
        <v/>
      </c>
      <c r="B267" s="14"/>
      <c r="C267" s="15"/>
      <c r="D267" s="15"/>
      <c r="E267" s="15"/>
      <c r="F267" s="1"/>
      <c r="G267" s="1" t="str">
        <f t="shared" si="9"/>
        <v/>
      </c>
      <c r="H267" s="1"/>
    </row>
    <row r="268" spans="1:8">
      <c r="A268" s="4" t="str">
        <f t="shared" si="8"/>
        <v/>
      </c>
      <c r="B268" s="12"/>
      <c r="C268" s="13"/>
      <c r="D268" s="13"/>
      <c r="E268" s="13"/>
      <c r="F268" s="2"/>
      <c r="G268" s="2" t="str">
        <f t="shared" si="9"/>
        <v/>
      </c>
      <c r="H268" s="2"/>
    </row>
    <row r="269" spans="1:8">
      <c r="A269" s="3" t="str">
        <f t="shared" si="8"/>
        <v/>
      </c>
      <c r="B269" s="14"/>
      <c r="C269" s="15"/>
      <c r="D269" s="15"/>
      <c r="E269" s="15"/>
      <c r="F269" s="1"/>
      <c r="G269" s="1" t="str">
        <f t="shared" si="9"/>
        <v/>
      </c>
      <c r="H269" s="1"/>
    </row>
    <row r="270" spans="1:8">
      <c r="A270" s="4" t="str">
        <f t="shared" si="8"/>
        <v/>
      </c>
      <c r="B270" s="12"/>
      <c r="C270" s="13"/>
      <c r="D270" s="13"/>
      <c r="E270" s="13"/>
      <c r="F270" s="2"/>
      <c r="G270" s="2" t="str">
        <f t="shared" si="9"/>
        <v/>
      </c>
      <c r="H270" s="2"/>
    </row>
    <row r="271" spans="1:8">
      <c r="A271" s="3" t="str">
        <f t="shared" si="8"/>
        <v/>
      </c>
      <c r="B271" s="14"/>
      <c r="C271" s="15"/>
      <c r="D271" s="15"/>
      <c r="E271" s="15"/>
      <c r="F271" s="1"/>
      <c r="G271" s="1" t="str">
        <f t="shared" si="9"/>
        <v/>
      </c>
      <c r="H271" s="1"/>
    </row>
    <row r="272" spans="1:8">
      <c r="A272" s="4" t="str">
        <f t="shared" si="8"/>
        <v/>
      </c>
      <c r="B272" s="12"/>
      <c r="C272" s="13"/>
      <c r="D272" s="13"/>
      <c r="E272" s="13"/>
      <c r="F272" s="2"/>
      <c r="G272" s="2" t="str">
        <f t="shared" si="9"/>
        <v/>
      </c>
      <c r="H272" s="2"/>
    </row>
    <row r="273" spans="1:8">
      <c r="A273" s="3" t="str">
        <f t="shared" si="8"/>
        <v/>
      </c>
      <c r="B273" s="14"/>
      <c r="C273" s="15"/>
      <c r="D273" s="15"/>
      <c r="E273" s="15"/>
      <c r="F273" s="1"/>
      <c r="G273" s="1" t="str">
        <f t="shared" si="9"/>
        <v/>
      </c>
      <c r="H273" s="1"/>
    </row>
    <row r="274" spans="1:8">
      <c r="A274" s="4" t="str">
        <f t="shared" si="8"/>
        <v/>
      </c>
      <c r="B274" s="12"/>
      <c r="C274" s="13"/>
      <c r="D274" s="13"/>
      <c r="E274" s="13"/>
      <c r="F274" s="2"/>
      <c r="G274" s="2" t="str">
        <f t="shared" si="9"/>
        <v/>
      </c>
      <c r="H274" s="2"/>
    </row>
    <row r="275" spans="1:8">
      <c r="A275" s="3" t="str">
        <f t="shared" si="8"/>
        <v/>
      </c>
      <c r="B275" s="14"/>
      <c r="C275" s="15"/>
      <c r="D275" s="15"/>
      <c r="E275" s="15"/>
      <c r="F275" s="1"/>
      <c r="G275" s="1" t="str">
        <f t="shared" si="9"/>
        <v/>
      </c>
      <c r="H275" s="1"/>
    </row>
    <row r="276" spans="1:8">
      <c r="A276" s="4" t="str">
        <f t="shared" si="8"/>
        <v/>
      </c>
      <c r="B276" s="12"/>
      <c r="C276" s="13"/>
      <c r="D276" s="13"/>
      <c r="E276" s="13"/>
      <c r="F276" s="2"/>
      <c r="G276" s="2" t="str">
        <f t="shared" si="9"/>
        <v/>
      </c>
      <c r="H276" s="2"/>
    </row>
    <row r="277" spans="1:8">
      <c r="A277" s="3" t="str">
        <f t="shared" si="8"/>
        <v/>
      </c>
      <c r="B277" s="14"/>
      <c r="C277" s="15"/>
      <c r="D277" s="15"/>
      <c r="E277" s="15"/>
      <c r="F277" s="1"/>
      <c r="G277" s="1" t="str">
        <f t="shared" si="9"/>
        <v/>
      </c>
      <c r="H277" s="1"/>
    </row>
    <row r="278" spans="1:8">
      <c r="A278" s="4" t="str">
        <f t="shared" si="8"/>
        <v/>
      </c>
      <c r="B278" s="12"/>
      <c r="C278" s="13"/>
      <c r="D278" s="13"/>
      <c r="E278" s="13"/>
      <c r="F278" s="2"/>
      <c r="G278" s="2" t="str">
        <f t="shared" si="9"/>
        <v/>
      </c>
      <c r="H278" s="2"/>
    </row>
    <row r="279" spans="1:8">
      <c r="A279" s="3" t="str">
        <f t="shared" si="8"/>
        <v/>
      </c>
      <c r="B279" s="14"/>
      <c r="C279" s="15"/>
      <c r="D279" s="15"/>
      <c r="E279" s="15"/>
      <c r="F279" s="1"/>
      <c r="G279" s="1" t="str">
        <f t="shared" si="9"/>
        <v/>
      </c>
      <c r="H279" s="1"/>
    </row>
    <row r="280" spans="1:8">
      <c r="A280" s="4" t="str">
        <f t="shared" si="8"/>
        <v/>
      </c>
      <c r="B280" s="12"/>
      <c r="C280" s="13"/>
      <c r="D280" s="13"/>
      <c r="E280" s="13"/>
      <c r="F280" s="2"/>
      <c r="G280" s="2" t="str">
        <f t="shared" si="9"/>
        <v/>
      </c>
      <c r="H280" s="2"/>
    </row>
    <row r="281" spans="1:8">
      <c r="A281" s="3" t="str">
        <f t="shared" si="8"/>
        <v/>
      </c>
      <c r="B281" s="14"/>
      <c r="C281" s="15"/>
      <c r="D281" s="15"/>
      <c r="E281" s="15"/>
      <c r="F281" s="1"/>
      <c r="G281" s="1" t="str">
        <f t="shared" si="9"/>
        <v/>
      </c>
      <c r="H281" s="1"/>
    </row>
    <row r="282" spans="1:8">
      <c r="A282" s="4" t="str">
        <f t="shared" si="8"/>
        <v/>
      </c>
      <c r="B282" s="12"/>
      <c r="C282" s="13"/>
      <c r="D282" s="13"/>
      <c r="E282" s="13"/>
      <c r="F282" s="2"/>
      <c r="G282" s="2" t="str">
        <f t="shared" si="9"/>
        <v/>
      </c>
      <c r="H282" s="2"/>
    </row>
    <row r="283" spans="1:8">
      <c r="A283" s="3" t="str">
        <f t="shared" si="8"/>
        <v/>
      </c>
      <c r="B283" s="14"/>
      <c r="C283" s="15"/>
      <c r="D283" s="15"/>
      <c r="E283" s="15"/>
      <c r="F283" s="1"/>
      <c r="G283" s="1" t="str">
        <f t="shared" si="9"/>
        <v/>
      </c>
      <c r="H283" s="1"/>
    </row>
    <row r="284" spans="1:8">
      <c r="A284" s="4" t="str">
        <f t="shared" si="8"/>
        <v/>
      </c>
      <c r="B284" s="12"/>
      <c r="C284" s="13"/>
      <c r="D284" s="13"/>
      <c r="E284" s="13"/>
      <c r="F284" s="2"/>
      <c r="G284" s="2" t="str">
        <f t="shared" si="9"/>
        <v/>
      </c>
      <c r="H284" s="2"/>
    </row>
    <row r="285" spans="1:8">
      <c r="A285" s="3" t="str">
        <f t="shared" si="8"/>
        <v/>
      </c>
      <c r="B285" s="14"/>
      <c r="C285" s="15"/>
      <c r="D285" s="15"/>
      <c r="E285" s="15"/>
      <c r="F285" s="1"/>
      <c r="G285" s="1" t="str">
        <f t="shared" si="9"/>
        <v/>
      </c>
      <c r="H285" s="1"/>
    </row>
    <row r="286" spans="1:8">
      <c r="A286" s="4" t="str">
        <f t="shared" si="8"/>
        <v/>
      </c>
      <c r="B286" s="12"/>
      <c r="C286" s="13"/>
      <c r="D286" s="13"/>
      <c r="E286" s="13"/>
      <c r="F286" s="2"/>
      <c r="G286" s="2" t="str">
        <f t="shared" si="9"/>
        <v/>
      </c>
      <c r="H286" s="2"/>
    </row>
    <row r="287" spans="1:8">
      <c r="A287" s="3" t="str">
        <f t="shared" si="8"/>
        <v/>
      </c>
      <c r="B287" s="14"/>
      <c r="C287" s="15"/>
      <c r="D287" s="15"/>
      <c r="E287" s="15"/>
      <c r="F287" s="1"/>
      <c r="G287" s="1" t="str">
        <f t="shared" si="9"/>
        <v/>
      </c>
      <c r="H287" s="1"/>
    </row>
    <row r="288" spans="1:8">
      <c r="A288" s="4" t="str">
        <f t="shared" si="8"/>
        <v/>
      </c>
      <c r="B288" s="12"/>
      <c r="C288" s="13"/>
      <c r="D288" s="13"/>
      <c r="E288" s="13"/>
      <c r="F288" s="2"/>
      <c r="G288" s="2" t="str">
        <f t="shared" si="9"/>
        <v/>
      </c>
      <c r="H288" s="2"/>
    </row>
    <row r="289" spans="1:8">
      <c r="A289" s="3" t="str">
        <f t="shared" si="8"/>
        <v/>
      </c>
      <c r="B289" s="14"/>
      <c r="C289" s="15"/>
      <c r="D289" s="15"/>
      <c r="E289" s="15"/>
      <c r="F289" s="1"/>
      <c r="G289" s="1" t="str">
        <f t="shared" si="9"/>
        <v/>
      </c>
      <c r="H289" s="1"/>
    </row>
    <row r="290" spans="1:8">
      <c r="A290" s="4" t="str">
        <f t="shared" si="8"/>
        <v/>
      </c>
      <c r="B290" s="12"/>
      <c r="C290" s="13"/>
      <c r="D290" s="13"/>
      <c r="E290" s="13"/>
      <c r="F290" s="2"/>
      <c r="G290" s="2" t="str">
        <f t="shared" si="9"/>
        <v/>
      </c>
      <c r="H290" s="2"/>
    </row>
    <row r="291" spans="1:8">
      <c r="A291" s="3" t="str">
        <f t="shared" si="8"/>
        <v/>
      </c>
      <c r="B291" s="14"/>
      <c r="C291" s="15"/>
      <c r="D291" s="15"/>
      <c r="E291" s="15"/>
      <c r="F291" s="1"/>
      <c r="G291" s="1" t="str">
        <f t="shared" si="9"/>
        <v/>
      </c>
      <c r="H291" s="1"/>
    </row>
    <row r="292" spans="1:8">
      <c r="A292" s="4" t="str">
        <f t="shared" si="8"/>
        <v/>
      </c>
      <c r="B292" s="12"/>
      <c r="C292" s="13"/>
      <c r="D292" s="13"/>
      <c r="E292" s="13"/>
      <c r="F292" s="2"/>
      <c r="G292" s="2" t="str">
        <f t="shared" si="9"/>
        <v/>
      </c>
      <c r="H292" s="2"/>
    </row>
    <row r="293" spans="1:8">
      <c r="A293" s="3" t="str">
        <f t="shared" si="8"/>
        <v/>
      </c>
      <c r="B293" s="14"/>
      <c r="C293" s="15"/>
      <c r="D293" s="15"/>
      <c r="E293" s="15"/>
      <c r="F293" s="1"/>
      <c r="G293" s="1" t="str">
        <f t="shared" si="9"/>
        <v/>
      </c>
      <c r="H293" s="1"/>
    </row>
    <row r="294" spans="1:8">
      <c r="A294" s="4" t="str">
        <f t="shared" si="8"/>
        <v/>
      </c>
      <c r="B294" s="12"/>
      <c r="C294" s="13"/>
      <c r="D294" s="13"/>
      <c r="E294" s="13"/>
      <c r="F294" s="2"/>
      <c r="G294" s="2" t="str">
        <f t="shared" si="9"/>
        <v/>
      </c>
      <c r="H294" s="2"/>
    </row>
    <row r="295" spans="1:8">
      <c r="A295" s="3" t="str">
        <f t="shared" si="8"/>
        <v/>
      </c>
      <c r="B295" s="14"/>
      <c r="C295" s="15"/>
      <c r="D295" s="15"/>
      <c r="E295" s="15"/>
      <c r="F295" s="1"/>
      <c r="G295" s="1" t="str">
        <f t="shared" si="9"/>
        <v/>
      </c>
      <c r="H295" s="1"/>
    </row>
    <row r="296" spans="1:8">
      <c r="A296" s="4" t="str">
        <f t="shared" si="8"/>
        <v/>
      </c>
      <c r="B296" s="12"/>
      <c r="C296" s="13"/>
      <c r="D296" s="13"/>
      <c r="E296" s="13"/>
      <c r="F296" s="2"/>
      <c r="G296" s="2" t="str">
        <f t="shared" si="9"/>
        <v/>
      </c>
      <c r="H296" s="2"/>
    </row>
    <row r="297" spans="1:8">
      <c r="A297" s="3" t="str">
        <f t="shared" si="8"/>
        <v/>
      </c>
      <c r="B297" s="14"/>
      <c r="C297" s="15"/>
      <c r="D297" s="15"/>
      <c r="E297" s="15"/>
      <c r="F297" s="1"/>
      <c r="G297" s="1" t="str">
        <f t="shared" si="9"/>
        <v/>
      </c>
      <c r="H297" s="1"/>
    </row>
    <row r="298" spans="1:8">
      <c r="A298" s="4" t="str">
        <f t="shared" si="8"/>
        <v/>
      </c>
      <c r="B298" s="12"/>
      <c r="C298" s="13"/>
      <c r="D298" s="13"/>
      <c r="E298" s="13"/>
      <c r="F298" s="2"/>
      <c r="G298" s="2" t="str">
        <f t="shared" si="9"/>
        <v/>
      </c>
      <c r="H298" s="2"/>
    </row>
    <row r="299" spans="1:8">
      <c r="A299" s="3" t="str">
        <f t="shared" si="8"/>
        <v/>
      </c>
      <c r="B299" s="14"/>
      <c r="C299" s="15"/>
      <c r="D299" s="15"/>
      <c r="E299" s="15"/>
      <c r="F299" s="1"/>
      <c r="G299" s="1" t="str">
        <f t="shared" si="9"/>
        <v/>
      </c>
      <c r="H299" s="1"/>
    </row>
    <row r="300" spans="1:8">
      <c r="A300" s="4" t="str">
        <f t="shared" si="8"/>
        <v/>
      </c>
      <c r="B300" s="12"/>
      <c r="C300" s="13"/>
      <c r="D300" s="13"/>
      <c r="E300" s="13"/>
      <c r="F300" s="2"/>
      <c r="G300" s="2" t="str">
        <f t="shared" si="9"/>
        <v/>
      </c>
      <c r="H300" s="2"/>
    </row>
    <row r="301" spans="1:8">
      <c r="A301" s="3" t="str">
        <f t="shared" si="8"/>
        <v/>
      </c>
      <c r="B301" s="14"/>
      <c r="C301" s="15"/>
      <c r="D301" s="15"/>
      <c r="E301" s="15"/>
      <c r="F301" s="1"/>
      <c r="G301" s="1" t="str">
        <f t="shared" si="9"/>
        <v/>
      </c>
      <c r="H301" s="1"/>
    </row>
    <row r="302" spans="1:8">
      <c r="A302" s="4" t="str">
        <f t="shared" si="8"/>
        <v/>
      </c>
      <c r="B302" s="12"/>
      <c r="C302" s="13"/>
      <c r="D302" s="13"/>
      <c r="E302" s="13"/>
      <c r="F302" s="2"/>
      <c r="G302" s="2" t="str">
        <f t="shared" si="9"/>
        <v/>
      </c>
      <c r="H302" s="2"/>
    </row>
    <row r="303" spans="1:8">
      <c r="A303" s="3" t="str">
        <f t="shared" si="8"/>
        <v/>
      </c>
      <c r="B303" s="14"/>
      <c r="C303" s="15"/>
      <c r="D303" s="15"/>
      <c r="E303" s="15"/>
      <c r="F303" s="1"/>
      <c r="G303" s="1" t="str">
        <f t="shared" si="9"/>
        <v/>
      </c>
      <c r="H303" s="1"/>
    </row>
    <row r="304" spans="1:8">
      <c r="A304" s="4" t="str">
        <f t="shared" si="8"/>
        <v/>
      </c>
      <c r="B304" s="12"/>
      <c r="C304" s="13"/>
      <c r="D304" s="13"/>
      <c r="E304" s="13"/>
      <c r="F304" s="2"/>
      <c r="G304" s="2" t="str">
        <f t="shared" si="9"/>
        <v/>
      </c>
      <c r="H304" s="2"/>
    </row>
    <row r="305" spans="1:8">
      <c r="A305" s="3" t="str">
        <f t="shared" si="8"/>
        <v/>
      </c>
      <c r="B305" s="14"/>
      <c r="C305" s="15"/>
      <c r="D305" s="15"/>
      <c r="E305" s="15"/>
      <c r="F305" s="1"/>
      <c r="G305" s="1" t="str">
        <f t="shared" si="9"/>
        <v/>
      </c>
      <c r="H305" s="1"/>
    </row>
    <row r="306" spans="1:8">
      <c r="A306" s="4" t="str">
        <f t="shared" si="8"/>
        <v/>
      </c>
      <c r="B306" s="12"/>
      <c r="C306" s="13"/>
      <c r="D306" s="13"/>
      <c r="E306" s="13"/>
      <c r="F306" s="2"/>
      <c r="G306" s="2" t="str">
        <f t="shared" si="9"/>
        <v/>
      </c>
      <c r="H306" s="2"/>
    </row>
    <row r="307" spans="1:8">
      <c r="A307" s="3" t="str">
        <f t="shared" si="8"/>
        <v/>
      </c>
      <c r="B307" s="14"/>
      <c r="C307" s="15"/>
      <c r="D307" s="15"/>
      <c r="E307" s="15"/>
      <c r="F307" s="1"/>
      <c r="G307" s="1" t="str">
        <f t="shared" si="9"/>
        <v/>
      </c>
      <c r="H307" s="1"/>
    </row>
    <row r="308" spans="1:8">
      <c r="A308" s="4" t="str">
        <f t="shared" si="8"/>
        <v/>
      </c>
      <c r="B308" s="12"/>
      <c r="C308" s="13"/>
      <c r="D308" s="13"/>
      <c r="E308" s="13"/>
      <c r="F308" s="2"/>
      <c r="G308" s="2" t="str">
        <f t="shared" si="9"/>
        <v/>
      </c>
      <c r="H308" s="2"/>
    </row>
    <row r="309" spans="1:8">
      <c r="A309" s="3" t="str">
        <f t="shared" si="8"/>
        <v/>
      </c>
      <c r="B309" s="14"/>
      <c r="C309" s="15"/>
      <c r="D309" s="15"/>
      <c r="E309" s="15"/>
      <c r="F309" s="1"/>
      <c r="G309" s="1" t="str">
        <f t="shared" si="9"/>
        <v/>
      </c>
      <c r="H309" s="1"/>
    </row>
    <row r="310" spans="1:8">
      <c r="A310" s="4" t="str">
        <f t="shared" si="8"/>
        <v/>
      </c>
      <c r="B310" s="12"/>
      <c r="C310" s="13"/>
      <c r="D310" s="13"/>
      <c r="E310" s="13"/>
      <c r="F310" s="2"/>
      <c r="G310" s="2" t="str">
        <f t="shared" si="9"/>
        <v/>
      </c>
      <c r="H310" s="2"/>
    </row>
    <row r="311" spans="1:8">
      <c r="A311" s="3" t="str">
        <f t="shared" si="8"/>
        <v/>
      </c>
      <c r="B311" s="14"/>
      <c r="C311" s="15"/>
      <c r="D311" s="15"/>
      <c r="E311" s="15"/>
      <c r="F311" s="1"/>
      <c r="G311" s="1" t="str">
        <f t="shared" si="9"/>
        <v/>
      </c>
      <c r="H311" s="1"/>
    </row>
    <row r="312" spans="1:8">
      <c r="A312" s="4" t="str">
        <f t="shared" si="8"/>
        <v/>
      </c>
      <c r="B312" s="12"/>
      <c r="C312" s="13"/>
      <c r="D312" s="13"/>
      <c r="E312" s="13"/>
      <c r="F312" s="2"/>
      <c r="G312" s="2" t="str">
        <f t="shared" si="9"/>
        <v/>
      </c>
      <c r="H312" s="2"/>
    </row>
    <row r="313" spans="1:8">
      <c r="A313" s="3" t="str">
        <f t="shared" si="8"/>
        <v/>
      </c>
      <c r="B313" s="14"/>
      <c r="C313" s="15"/>
      <c r="D313" s="15"/>
      <c r="E313" s="15"/>
      <c r="F313" s="1"/>
      <c r="G313" s="1" t="str">
        <f t="shared" si="9"/>
        <v/>
      </c>
      <c r="H313" s="1"/>
    </row>
    <row r="314" spans="1:8">
      <c r="A314" s="4" t="str">
        <f t="shared" si="8"/>
        <v/>
      </c>
      <c r="B314" s="12"/>
      <c r="C314" s="13"/>
      <c r="D314" s="13"/>
      <c r="E314" s="13"/>
      <c r="F314" s="2"/>
      <c r="G314" s="2" t="str">
        <f t="shared" si="9"/>
        <v/>
      </c>
      <c r="H314" s="2"/>
    </row>
    <row r="315" spans="1:8">
      <c r="A315" s="3" t="str">
        <f t="shared" si="8"/>
        <v/>
      </c>
      <c r="B315" s="14"/>
      <c r="C315" s="15"/>
      <c r="D315" s="15"/>
      <c r="E315" s="15"/>
      <c r="F315" s="1"/>
      <c r="G315" s="1" t="str">
        <f t="shared" si="9"/>
        <v/>
      </c>
      <c r="H315" s="1"/>
    </row>
    <row r="316" spans="1:8">
      <c r="A316" s="4" t="str">
        <f t="shared" si="8"/>
        <v/>
      </c>
      <c r="B316" s="12"/>
      <c r="C316" s="13"/>
      <c r="D316" s="13"/>
      <c r="E316" s="13"/>
      <c r="F316" s="2"/>
      <c r="G316" s="2" t="str">
        <f t="shared" si="9"/>
        <v/>
      </c>
      <c r="H316" s="2"/>
    </row>
    <row r="317" spans="1:8">
      <c r="A317" s="3" t="str">
        <f t="shared" si="8"/>
        <v/>
      </c>
      <c r="B317" s="14"/>
      <c r="C317" s="15"/>
      <c r="D317" s="15"/>
      <c r="E317" s="15"/>
      <c r="F317" s="1"/>
      <c r="G317" s="1" t="str">
        <f t="shared" si="9"/>
        <v/>
      </c>
      <c r="H317" s="1"/>
    </row>
    <row r="318" spans="1:8">
      <c r="A318" s="4" t="str">
        <f t="shared" si="8"/>
        <v/>
      </c>
      <c r="B318" s="12"/>
      <c r="C318" s="13"/>
      <c r="D318" s="13"/>
      <c r="E318" s="13"/>
      <c r="F318" s="2"/>
      <c r="G318" s="2" t="str">
        <f t="shared" si="9"/>
        <v/>
      </c>
      <c r="H318" s="2"/>
    </row>
    <row r="319" spans="1:8">
      <c r="A319" s="3" t="str">
        <f t="shared" si="8"/>
        <v/>
      </c>
      <c r="B319" s="14"/>
      <c r="C319" s="15"/>
      <c r="D319" s="15"/>
      <c r="E319" s="15"/>
      <c r="F319" s="1"/>
      <c r="G319" s="1" t="str">
        <f t="shared" si="9"/>
        <v/>
      </c>
      <c r="H319" s="1"/>
    </row>
    <row r="320" spans="1:8">
      <c r="A320" s="4" t="str">
        <f t="shared" si="8"/>
        <v/>
      </c>
      <c r="B320" s="12"/>
      <c r="C320" s="13"/>
      <c r="D320" s="13"/>
      <c r="E320" s="13"/>
      <c r="F320" s="2"/>
      <c r="G320" s="2" t="str">
        <f t="shared" si="9"/>
        <v/>
      </c>
      <c r="H320" s="2"/>
    </row>
    <row r="321" spans="1:8">
      <c r="A321" s="3" t="str">
        <f t="shared" si="8"/>
        <v/>
      </c>
      <c r="B321" s="14"/>
      <c r="C321" s="15"/>
      <c r="D321" s="15"/>
      <c r="E321" s="15"/>
      <c r="F321" s="1"/>
      <c r="G321" s="1" t="str">
        <f t="shared" si="9"/>
        <v/>
      </c>
      <c r="H321" s="1"/>
    </row>
    <row r="322" spans="1:8">
      <c r="A322" s="4" t="str">
        <f t="shared" si="8"/>
        <v/>
      </c>
      <c r="B322" s="12"/>
      <c r="C322" s="13"/>
      <c r="D322" s="13"/>
      <c r="E322" s="13"/>
      <c r="F322" s="2"/>
      <c r="G322" s="2" t="str">
        <f t="shared" si="9"/>
        <v/>
      </c>
      <c r="H322" s="2"/>
    </row>
    <row r="323" spans="1:8">
      <c r="A323" s="3" t="str">
        <f t="shared" si="8"/>
        <v/>
      </c>
      <c r="B323" s="14"/>
      <c r="C323" s="15"/>
      <c r="D323" s="15"/>
      <c r="E323" s="15"/>
      <c r="F323" s="1"/>
      <c r="G323" s="1" t="str">
        <f t="shared" si="9"/>
        <v/>
      </c>
      <c r="H323" s="1"/>
    </row>
    <row r="324" spans="1:8">
      <c r="A324" s="4" t="str">
        <f t="shared" si="8"/>
        <v/>
      </c>
      <c r="B324" s="12"/>
      <c r="C324" s="13"/>
      <c r="D324" s="13"/>
      <c r="E324" s="13"/>
      <c r="F324" s="2"/>
      <c r="G324" s="2" t="str">
        <f t="shared" si="9"/>
        <v/>
      </c>
      <c r="H324" s="2"/>
    </row>
    <row r="325" spans="1:8">
      <c r="A325" s="3" t="str">
        <f t="shared" ref="A325:A388" si="10">IF(B325="","",ROW()-4)</f>
        <v/>
      </c>
      <c r="B325" s="14"/>
      <c r="C325" s="15"/>
      <c r="D325" s="15"/>
      <c r="E325" s="15"/>
      <c r="F325" s="1"/>
      <c r="G325" s="1" t="str">
        <f t="shared" ref="G325:G388" si="11">IF(B325="","","UNPAID")</f>
        <v/>
      </c>
      <c r="H325" s="1"/>
    </row>
    <row r="326" spans="1:8">
      <c r="A326" s="4" t="str">
        <f t="shared" si="10"/>
        <v/>
      </c>
      <c r="B326" s="12"/>
      <c r="C326" s="13"/>
      <c r="D326" s="13"/>
      <c r="E326" s="13"/>
      <c r="F326" s="2"/>
      <c r="G326" s="2" t="str">
        <f t="shared" si="11"/>
        <v/>
      </c>
      <c r="H326" s="2"/>
    </row>
    <row r="327" spans="1:8">
      <c r="A327" s="3" t="str">
        <f t="shared" si="10"/>
        <v/>
      </c>
      <c r="B327" s="14"/>
      <c r="C327" s="15"/>
      <c r="D327" s="15"/>
      <c r="E327" s="15"/>
      <c r="F327" s="1"/>
      <c r="G327" s="1" t="str">
        <f t="shared" si="11"/>
        <v/>
      </c>
      <c r="H327" s="1"/>
    </row>
    <row r="328" spans="1:8">
      <c r="A328" s="4" t="str">
        <f t="shared" si="10"/>
        <v/>
      </c>
      <c r="B328" s="12"/>
      <c r="C328" s="13"/>
      <c r="D328" s="13"/>
      <c r="E328" s="13"/>
      <c r="F328" s="2"/>
      <c r="G328" s="2" t="str">
        <f t="shared" si="11"/>
        <v/>
      </c>
      <c r="H328" s="2"/>
    </row>
    <row r="329" spans="1:8">
      <c r="A329" s="3" t="str">
        <f t="shared" si="10"/>
        <v/>
      </c>
      <c r="B329" s="14"/>
      <c r="C329" s="15"/>
      <c r="D329" s="15"/>
      <c r="E329" s="15"/>
      <c r="F329" s="1"/>
      <c r="G329" s="1" t="str">
        <f t="shared" si="11"/>
        <v/>
      </c>
      <c r="H329" s="1"/>
    </row>
    <row r="330" spans="1:8">
      <c r="A330" s="4" t="str">
        <f t="shared" si="10"/>
        <v/>
      </c>
      <c r="B330" s="12"/>
      <c r="C330" s="13"/>
      <c r="D330" s="13"/>
      <c r="E330" s="13"/>
      <c r="F330" s="2"/>
      <c r="G330" s="2" t="str">
        <f t="shared" si="11"/>
        <v/>
      </c>
      <c r="H330" s="2"/>
    </row>
    <row r="331" spans="1:8">
      <c r="A331" s="3" t="str">
        <f t="shared" si="10"/>
        <v/>
      </c>
      <c r="B331" s="14"/>
      <c r="C331" s="15"/>
      <c r="D331" s="15"/>
      <c r="E331" s="15"/>
      <c r="F331" s="1"/>
      <c r="G331" s="1" t="str">
        <f t="shared" si="11"/>
        <v/>
      </c>
      <c r="H331" s="1"/>
    </row>
    <row r="332" spans="1:8">
      <c r="A332" s="4" t="str">
        <f t="shared" si="10"/>
        <v/>
      </c>
      <c r="B332" s="12"/>
      <c r="C332" s="13"/>
      <c r="D332" s="13"/>
      <c r="E332" s="13"/>
      <c r="F332" s="2"/>
      <c r="G332" s="2" t="str">
        <f t="shared" si="11"/>
        <v/>
      </c>
      <c r="H332" s="2"/>
    </row>
    <row r="333" spans="1:8">
      <c r="A333" s="3" t="str">
        <f t="shared" si="10"/>
        <v/>
      </c>
      <c r="B333" s="14"/>
      <c r="C333" s="15"/>
      <c r="D333" s="15"/>
      <c r="E333" s="15"/>
      <c r="F333" s="1"/>
      <c r="G333" s="1" t="str">
        <f t="shared" si="11"/>
        <v/>
      </c>
      <c r="H333" s="1"/>
    </row>
    <row r="334" spans="1:8">
      <c r="A334" s="4" t="str">
        <f t="shared" si="10"/>
        <v/>
      </c>
      <c r="B334" s="12"/>
      <c r="C334" s="13"/>
      <c r="D334" s="13"/>
      <c r="E334" s="13"/>
      <c r="F334" s="2"/>
      <c r="G334" s="2" t="str">
        <f t="shared" si="11"/>
        <v/>
      </c>
      <c r="H334" s="2"/>
    </row>
    <row r="335" spans="1:8">
      <c r="A335" s="3" t="str">
        <f t="shared" si="10"/>
        <v/>
      </c>
      <c r="B335" s="14"/>
      <c r="C335" s="15"/>
      <c r="D335" s="15"/>
      <c r="E335" s="15"/>
      <c r="F335" s="1"/>
      <c r="G335" s="1" t="str">
        <f t="shared" si="11"/>
        <v/>
      </c>
      <c r="H335" s="1"/>
    </row>
    <row r="336" spans="1:8">
      <c r="A336" s="4" t="str">
        <f t="shared" si="10"/>
        <v/>
      </c>
      <c r="B336" s="12"/>
      <c r="C336" s="13"/>
      <c r="D336" s="13"/>
      <c r="E336" s="13"/>
      <c r="F336" s="2"/>
      <c r="G336" s="2" t="str">
        <f t="shared" si="11"/>
        <v/>
      </c>
      <c r="H336" s="2"/>
    </row>
    <row r="337" spans="1:8">
      <c r="A337" s="3" t="str">
        <f t="shared" si="10"/>
        <v/>
      </c>
      <c r="B337" s="14"/>
      <c r="C337" s="15"/>
      <c r="D337" s="15"/>
      <c r="E337" s="15"/>
      <c r="F337" s="1"/>
      <c r="G337" s="1" t="str">
        <f t="shared" si="11"/>
        <v/>
      </c>
      <c r="H337" s="1"/>
    </row>
    <row r="338" spans="1:8">
      <c r="A338" s="4" t="str">
        <f t="shared" si="10"/>
        <v/>
      </c>
      <c r="B338" s="12"/>
      <c r="C338" s="13"/>
      <c r="D338" s="13"/>
      <c r="E338" s="13"/>
      <c r="F338" s="2"/>
      <c r="G338" s="2" t="str">
        <f t="shared" si="11"/>
        <v/>
      </c>
      <c r="H338" s="2"/>
    </row>
    <row r="339" spans="1:8">
      <c r="A339" s="3" t="str">
        <f t="shared" si="10"/>
        <v/>
      </c>
      <c r="B339" s="14"/>
      <c r="C339" s="15"/>
      <c r="D339" s="15"/>
      <c r="E339" s="15"/>
      <c r="F339" s="1"/>
      <c r="G339" s="1" t="str">
        <f t="shared" si="11"/>
        <v/>
      </c>
      <c r="H339" s="1"/>
    </row>
    <row r="340" spans="1:8">
      <c r="A340" s="4" t="str">
        <f t="shared" si="10"/>
        <v/>
      </c>
      <c r="B340" s="12"/>
      <c r="C340" s="13"/>
      <c r="D340" s="13"/>
      <c r="E340" s="13"/>
      <c r="F340" s="2"/>
      <c r="G340" s="2" t="str">
        <f t="shared" si="11"/>
        <v/>
      </c>
      <c r="H340" s="2"/>
    </row>
    <row r="341" spans="1:8">
      <c r="A341" s="3" t="str">
        <f t="shared" si="10"/>
        <v/>
      </c>
      <c r="B341" s="14"/>
      <c r="C341" s="15"/>
      <c r="D341" s="15"/>
      <c r="E341" s="15"/>
      <c r="F341" s="1"/>
      <c r="G341" s="1" t="str">
        <f t="shared" si="11"/>
        <v/>
      </c>
      <c r="H341" s="1"/>
    </row>
    <row r="342" spans="1:8">
      <c r="A342" s="4" t="str">
        <f t="shared" si="10"/>
        <v/>
      </c>
      <c r="B342" s="12"/>
      <c r="C342" s="13"/>
      <c r="D342" s="13"/>
      <c r="E342" s="13"/>
      <c r="F342" s="2"/>
      <c r="G342" s="2" t="str">
        <f t="shared" si="11"/>
        <v/>
      </c>
      <c r="H342" s="2"/>
    </row>
    <row r="343" spans="1:8">
      <c r="A343" s="3" t="str">
        <f t="shared" si="10"/>
        <v/>
      </c>
      <c r="B343" s="14"/>
      <c r="C343" s="15"/>
      <c r="D343" s="15"/>
      <c r="E343" s="15"/>
      <c r="F343" s="1"/>
      <c r="G343" s="1" t="str">
        <f t="shared" si="11"/>
        <v/>
      </c>
      <c r="H343" s="1"/>
    </row>
    <row r="344" spans="1:8">
      <c r="A344" s="4" t="str">
        <f t="shared" si="10"/>
        <v/>
      </c>
      <c r="B344" s="12"/>
      <c r="C344" s="13"/>
      <c r="D344" s="13"/>
      <c r="E344" s="13"/>
      <c r="F344" s="2"/>
      <c r="G344" s="2" t="str">
        <f t="shared" si="11"/>
        <v/>
      </c>
      <c r="H344" s="2"/>
    </row>
    <row r="345" spans="1:8">
      <c r="A345" s="3" t="str">
        <f t="shared" si="10"/>
        <v/>
      </c>
      <c r="B345" s="14"/>
      <c r="C345" s="15"/>
      <c r="D345" s="15"/>
      <c r="E345" s="15"/>
      <c r="F345" s="1"/>
      <c r="G345" s="1" t="str">
        <f t="shared" si="11"/>
        <v/>
      </c>
      <c r="H345" s="1"/>
    </row>
    <row r="346" spans="1:8">
      <c r="A346" s="4" t="str">
        <f t="shared" si="10"/>
        <v/>
      </c>
      <c r="B346" s="12"/>
      <c r="C346" s="13"/>
      <c r="D346" s="13"/>
      <c r="E346" s="13"/>
      <c r="F346" s="2"/>
      <c r="G346" s="2" t="str">
        <f t="shared" si="11"/>
        <v/>
      </c>
      <c r="H346" s="2"/>
    </row>
    <row r="347" spans="1:8">
      <c r="A347" s="3" t="str">
        <f t="shared" si="10"/>
        <v/>
      </c>
      <c r="B347" s="14"/>
      <c r="C347" s="15"/>
      <c r="D347" s="15"/>
      <c r="E347" s="15"/>
      <c r="F347" s="1"/>
      <c r="G347" s="1" t="str">
        <f t="shared" si="11"/>
        <v/>
      </c>
      <c r="H347" s="1"/>
    </row>
    <row r="348" spans="1:8">
      <c r="A348" s="4" t="str">
        <f t="shared" si="10"/>
        <v/>
      </c>
      <c r="B348" s="12"/>
      <c r="C348" s="13"/>
      <c r="D348" s="13"/>
      <c r="E348" s="13"/>
      <c r="F348" s="2"/>
      <c r="G348" s="2" t="str">
        <f t="shared" si="11"/>
        <v/>
      </c>
      <c r="H348" s="2"/>
    </row>
    <row r="349" spans="1:8">
      <c r="A349" s="3" t="str">
        <f t="shared" si="10"/>
        <v/>
      </c>
      <c r="B349" s="14"/>
      <c r="C349" s="15"/>
      <c r="D349" s="15"/>
      <c r="E349" s="15"/>
      <c r="F349" s="1"/>
      <c r="G349" s="1" t="str">
        <f t="shared" si="11"/>
        <v/>
      </c>
      <c r="H349" s="1"/>
    </row>
    <row r="350" spans="1:8">
      <c r="A350" s="4" t="str">
        <f t="shared" si="10"/>
        <v/>
      </c>
      <c r="B350" s="12"/>
      <c r="C350" s="13"/>
      <c r="D350" s="13"/>
      <c r="E350" s="13"/>
      <c r="F350" s="2"/>
      <c r="G350" s="2" t="str">
        <f t="shared" si="11"/>
        <v/>
      </c>
      <c r="H350" s="2"/>
    </row>
    <row r="351" spans="1:8">
      <c r="A351" s="3" t="str">
        <f t="shared" si="10"/>
        <v/>
      </c>
      <c r="B351" s="14"/>
      <c r="C351" s="15"/>
      <c r="D351" s="15"/>
      <c r="E351" s="15"/>
      <c r="F351" s="1"/>
      <c r="G351" s="1" t="str">
        <f t="shared" si="11"/>
        <v/>
      </c>
      <c r="H351" s="1"/>
    </row>
    <row r="352" spans="1:8">
      <c r="A352" s="4" t="str">
        <f t="shared" si="10"/>
        <v/>
      </c>
      <c r="B352" s="12"/>
      <c r="C352" s="13"/>
      <c r="D352" s="13"/>
      <c r="E352" s="13"/>
      <c r="F352" s="2"/>
      <c r="G352" s="2" t="str">
        <f t="shared" si="11"/>
        <v/>
      </c>
      <c r="H352" s="2"/>
    </row>
    <row r="353" spans="1:8">
      <c r="A353" s="3" t="str">
        <f t="shared" si="10"/>
        <v/>
      </c>
      <c r="B353" s="14"/>
      <c r="C353" s="15"/>
      <c r="D353" s="15"/>
      <c r="E353" s="15"/>
      <c r="F353" s="1"/>
      <c r="G353" s="1" t="str">
        <f t="shared" si="11"/>
        <v/>
      </c>
      <c r="H353" s="1"/>
    </row>
    <row r="354" spans="1:8">
      <c r="A354" s="4" t="str">
        <f t="shared" si="10"/>
        <v/>
      </c>
      <c r="B354" s="12"/>
      <c r="C354" s="13"/>
      <c r="D354" s="13"/>
      <c r="E354" s="13"/>
      <c r="F354" s="2"/>
      <c r="G354" s="2" t="str">
        <f t="shared" si="11"/>
        <v/>
      </c>
      <c r="H354" s="2"/>
    </row>
    <row r="355" spans="1:8">
      <c r="A355" s="3" t="str">
        <f t="shared" si="10"/>
        <v/>
      </c>
      <c r="B355" s="14"/>
      <c r="C355" s="15"/>
      <c r="D355" s="15"/>
      <c r="E355" s="15"/>
      <c r="F355" s="1"/>
      <c r="G355" s="1" t="str">
        <f t="shared" si="11"/>
        <v/>
      </c>
      <c r="H355" s="1"/>
    </row>
    <row r="356" spans="1:8">
      <c r="A356" s="4" t="str">
        <f t="shared" si="10"/>
        <v/>
      </c>
      <c r="B356" s="12"/>
      <c r="C356" s="13"/>
      <c r="D356" s="13"/>
      <c r="E356" s="13"/>
      <c r="F356" s="2"/>
      <c r="G356" s="2" t="str">
        <f t="shared" si="11"/>
        <v/>
      </c>
      <c r="H356" s="2"/>
    </row>
    <row r="357" spans="1:8">
      <c r="A357" s="3" t="str">
        <f t="shared" si="10"/>
        <v/>
      </c>
      <c r="B357" s="14"/>
      <c r="C357" s="15"/>
      <c r="D357" s="15"/>
      <c r="E357" s="15"/>
      <c r="F357" s="1"/>
      <c r="G357" s="1" t="str">
        <f t="shared" si="11"/>
        <v/>
      </c>
      <c r="H357" s="1"/>
    </row>
    <row r="358" spans="1:8">
      <c r="A358" s="4" t="str">
        <f t="shared" si="10"/>
        <v/>
      </c>
      <c r="B358" s="12"/>
      <c r="C358" s="13"/>
      <c r="D358" s="13"/>
      <c r="E358" s="13"/>
      <c r="F358" s="2"/>
      <c r="G358" s="2" t="str">
        <f t="shared" si="11"/>
        <v/>
      </c>
      <c r="H358" s="2"/>
    </row>
    <row r="359" spans="1:8">
      <c r="A359" s="3" t="str">
        <f t="shared" si="10"/>
        <v/>
      </c>
      <c r="B359" s="14"/>
      <c r="C359" s="15"/>
      <c r="D359" s="15"/>
      <c r="E359" s="15"/>
      <c r="F359" s="1"/>
      <c r="G359" s="1" t="str">
        <f t="shared" si="11"/>
        <v/>
      </c>
      <c r="H359" s="1"/>
    </row>
    <row r="360" spans="1:8">
      <c r="A360" s="4" t="str">
        <f t="shared" si="10"/>
        <v/>
      </c>
      <c r="B360" s="12"/>
      <c r="C360" s="13"/>
      <c r="D360" s="13"/>
      <c r="E360" s="13"/>
      <c r="F360" s="2"/>
      <c r="G360" s="2" t="str">
        <f t="shared" si="11"/>
        <v/>
      </c>
      <c r="H360" s="2"/>
    </row>
    <row r="361" spans="1:8">
      <c r="A361" s="3" t="str">
        <f t="shared" si="10"/>
        <v/>
      </c>
      <c r="B361" s="14"/>
      <c r="C361" s="15"/>
      <c r="D361" s="15"/>
      <c r="E361" s="15"/>
      <c r="F361" s="1"/>
      <c r="G361" s="1" t="str">
        <f t="shared" si="11"/>
        <v/>
      </c>
      <c r="H361" s="1"/>
    </row>
    <row r="362" spans="1:8">
      <c r="A362" s="4" t="str">
        <f t="shared" si="10"/>
        <v/>
      </c>
      <c r="B362" s="12"/>
      <c r="C362" s="13"/>
      <c r="D362" s="13"/>
      <c r="E362" s="13"/>
      <c r="F362" s="2"/>
      <c r="G362" s="2" t="str">
        <f t="shared" si="11"/>
        <v/>
      </c>
      <c r="H362" s="2"/>
    </row>
    <row r="363" spans="1:8">
      <c r="A363" s="3" t="str">
        <f t="shared" si="10"/>
        <v/>
      </c>
      <c r="B363" s="14"/>
      <c r="C363" s="15"/>
      <c r="D363" s="15"/>
      <c r="E363" s="15"/>
      <c r="F363" s="1"/>
      <c r="G363" s="1" t="str">
        <f t="shared" si="11"/>
        <v/>
      </c>
      <c r="H363" s="1"/>
    </row>
    <row r="364" spans="1:8">
      <c r="A364" s="4" t="str">
        <f t="shared" si="10"/>
        <v/>
      </c>
      <c r="B364" s="12"/>
      <c r="C364" s="13"/>
      <c r="D364" s="13"/>
      <c r="E364" s="13"/>
      <c r="F364" s="2"/>
      <c r="G364" s="2" t="str">
        <f t="shared" si="11"/>
        <v/>
      </c>
      <c r="H364" s="2"/>
    </row>
    <row r="365" spans="1:8">
      <c r="A365" s="3" t="str">
        <f t="shared" si="10"/>
        <v/>
      </c>
      <c r="B365" s="14"/>
      <c r="C365" s="15"/>
      <c r="D365" s="15"/>
      <c r="E365" s="15"/>
      <c r="F365" s="1"/>
      <c r="G365" s="1" t="str">
        <f t="shared" si="11"/>
        <v/>
      </c>
      <c r="H365" s="1"/>
    </row>
    <row r="366" spans="1:8">
      <c r="A366" s="4" t="str">
        <f t="shared" si="10"/>
        <v/>
      </c>
      <c r="B366" s="12"/>
      <c r="C366" s="13"/>
      <c r="D366" s="13"/>
      <c r="E366" s="13"/>
      <c r="F366" s="2"/>
      <c r="G366" s="2" t="str">
        <f t="shared" si="11"/>
        <v/>
      </c>
      <c r="H366" s="2"/>
    </row>
    <row r="367" spans="1:8">
      <c r="A367" s="3" t="str">
        <f t="shared" si="10"/>
        <v/>
      </c>
      <c r="B367" s="14"/>
      <c r="C367" s="15"/>
      <c r="D367" s="15"/>
      <c r="E367" s="15"/>
      <c r="F367" s="1"/>
      <c r="G367" s="1" t="str">
        <f t="shared" si="11"/>
        <v/>
      </c>
      <c r="H367" s="1"/>
    </row>
    <row r="368" spans="1:8">
      <c r="A368" s="4" t="str">
        <f t="shared" si="10"/>
        <v/>
      </c>
      <c r="B368" s="12"/>
      <c r="C368" s="13"/>
      <c r="D368" s="13"/>
      <c r="E368" s="13"/>
      <c r="F368" s="2"/>
      <c r="G368" s="2" t="str">
        <f t="shared" si="11"/>
        <v/>
      </c>
      <c r="H368" s="2"/>
    </row>
    <row r="369" spans="1:8">
      <c r="A369" s="3" t="str">
        <f t="shared" si="10"/>
        <v/>
      </c>
      <c r="B369" s="14"/>
      <c r="C369" s="15"/>
      <c r="D369" s="15"/>
      <c r="E369" s="15"/>
      <c r="F369" s="1"/>
      <c r="G369" s="1" t="str">
        <f t="shared" si="11"/>
        <v/>
      </c>
      <c r="H369" s="1"/>
    </row>
    <row r="370" spans="1:8">
      <c r="A370" s="4" t="str">
        <f t="shared" si="10"/>
        <v/>
      </c>
      <c r="B370" s="12"/>
      <c r="C370" s="13"/>
      <c r="D370" s="13"/>
      <c r="E370" s="13"/>
      <c r="F370" s="2"/>
      <c r="G370" s="2" t="str">
        <f t="shared" si="11"/>
        <v/>
      </c>
      <c r="H370" s="2"/>
    </row>
    <row r="371" spans="1:8">
      <c r="A371" s="3" t="str">
        <f t="shared" si="10"/>
        <v/>
      </c>
      <c r="B371" s="14"/>
      <c r="C371" s="15"/>
      <c r="D371" s="15"/>
      <c r="E371" s="15"/>
      <c r="F371" s="1"/>
      <c r="G371" s="1" t="str">
        <f t="shared" si="11"/>
        <v/>
      </c>
      <c r="H371" s="1"/>
    </row>
    <row r="372" spans="1:8">
      <c r="A372" s="4" t="str">
        <f t="shared" si="10"/>
        <v/>
      </c>
      <c r="B372" s="12"/>
      <c r="C372" s="13"/>
      <c r="D372" s="13"/>
      <c r="E372" s="13"/>
      <c r="F372" s="2"/>
      <c r="G372" s="2" t="str">
        <f t="shared" si="11"/>
        <v/>
      </c>
      <c r="H372" s="2"/>
    </row>
    <row r="373" spans="1:8">
      <c r="A373" s="3" t="str">
        <f t="shared" si="10"/>
        <v/>
      </c>
      <c r="B373" s="14"/>
      <c r="C373" s="15"/>
      <c r="D373" s="15"/>
      <c r="E373" s="15"/>
      <c r="F373" s="1"/>
      <c r="G373" s="1" t="str">
        <f t="shared" si="11"/>
        <v/>
      </c>
      <c r="H373" s="1"/>
    </row>
    <row r="374" spans="1:8">
      <c r="A374" s="4" t="str">
        <f t="shared" si="10"/>
        <v/>
      </c>
      <c r="B374" s="12"/>
      <c r="C374" s="13"/>
      <c r="D374" s="13"/>
      <c r="E374" s="13"/>
      <c r="F374" s="2"/>
      <c r="G374" s="2" t="str">
        <f t="shared" si="11"/>
        <v/>
      </c>
      <c r="H374" s="2"/>
    </row>
    <row r="375" spans="1:8">
      <c r="A375" s="3" t="str">
        <f t="shared" si="10"/>
        <v/>
      </c>
      <c r="B375" s="14"/>
      <c r="C375" s="15"/>
      <c r="D375" s="15"/>
      <c r="E375" s="15"/>
      <c r="F375" s="1"/>
      <c r="G375" s="1" t="str">
        <f t="shared" si="11"/>
        <v/>
      </c>
      <c r="H375" s="1"/>
    </row>
    <row r="376" spans="1:8">
      <c r="A376" s="4" t="str">
        <f t="shared" si="10"/>
        <v/>
      </c>
      <c r="B376" s="12"/>
      <c r="C376" s="13"/>
      <c r="D376" s="13"/>
      <c r="E376" s="13"/>
      <c r="F376" s="2"/>
      <c r="G376" s="2" t="str">
        <f t="shared" si="11"/>
        <v/>
      </c>
      <c r="H376" s="2"/>
    </row>
    <row r="377" spans="1:8">
      <c r="A377" s="3" t="str">
        <f t="shared" si="10"/>
        <v/>
      </c>
      <c r="B377" s="14"/>
      <c r="C377" s="15"/>
      <c r="D377" s="15"/>
      <c r="E377" s="15"/>
      <c r="F377" s="1"/>
      <c r="G377" s="1" t="str">
        <f t="shared" si="11"/>
        <v/>
      </c>
      <c r="H377" s="1"/>
    </row>
    <row r="378" spans="1:8">
      <c r="A378" s="4" t="str">
        <f t="shared" si="10"/>
        <v/>
      </c>
      <c r="B378" s="12"/>
      <c r="C378" s="13"/>
      <c r="D378" s="13"/>
      <c r="E378" s="13"/>
      <c r="F378" s="2"/>
      <c r="G378" s="2" t="str">
        <f t="shared" si="11"/>
        <v/>
      </c>
      <c r="H378" s="2"/>
    </row>
    <row r="379" spans="1:8">
      <c r="A379" s="3" t="str">
        <f t="shared" si="10"/>
        <v/>
      </c>
      <c r="B379" s="14"/>
      <c r="C379" s="15"/>
      <c r="D379" s="15"/>
      <c r="E379" s="15"/>
      <c r="F379" s="1"/>
      <c r="G379" s="1" t="str">
        <f t="shared" si="11"/>
        <v/>
      </c>
      <c r="H379" s="1"/>
    </row>
    <row r="380" spans="1:8">
      <c r="A380" s="4" t="str">
        <f t="shared" si="10"/>
        <v/>
      </c>
      <c r="B380" s="12"/>
      <c r="C380" s="13"/>
      <c r="D380" s="13"/>
      <c r="E380" s="13"/>
      <c r="F380" s="2"/>
      <c r="G380" s="2" t="str">
        <f t="shared" si="11"/>
        <v/>
      </c>
      <c r="H380" s="2"/>
    </row>
    <row r="381" spans="1:8">
      <c r="A381" s="3" t="str">
        <f t="shared" si="10"/>
        <v/>
      </c>
      <c r="B381" s="14"/>
      <c r="C381" s="15"/>
      <c r="D381" s="15"/>
      <c r="E381" s="15"/>
      <c r="F381" s="1"/>
      <c r="G381" s="1" t="str">
        <f t="shared" si="11"/>
        <v/>
      </c>
      <c r="H381" s="1"/>
    </row>
    <row r="382" spans="1:8">
      <c r="A382" s="4" t="str">
        <f t="shared" si="10"/>
        <v/>
      </c>
      <c r="B382" s="12"/>
      <c r="C382" s="13"/>
      <c r="D382" s="13"/>
      <c r="E382" s="13"/>
      <c r="F382" s="2"/>
      <c r="G382" s="2" t="str">
        <f t="shared" si="11"/>
        <v/>
      </c>
      <c r="H382" s="2"/>
    </row>
    <row r="383" spans="1:8">
      <c r="A383" s="3" t="str">
        <f t="shared" si="10"/>
        <v/>
      </c>
      <c r="B383" s="14"/>
      <c r="C383" s="15"/>
      <c r="D383" s="15"/>
      <c r="E383" s="15"/>
      <c r="F383" s="1"/>
      <c r="G383" s="1" t="str">
        <f t="shared" si="11"/>
        <v/>
      </c>
      <c r="H383" s="1"/>
    </row>
    <row r="384" spans="1:8">
      <c r="A384" s="4" t="str">
        <f t="shared" si="10"/>
        <v/>
      </c>
      <c r="B384" s="12"/>
      <c r="C384" s="13"/>
      <c r="D384" s="13"/>
      <c r="E384" s="13"/>
      <c r="F384" s="2"/>
      <c r="G384" s="2" t="str">
        <f t="shared" si="11"/>
        <v/>
      </c>
      <c r="H384" s="2"/>
    </row>
    <row r="385" spans="1:8">
      <c r="A385" s="3" t="str">
        <f t="shared" si="10"/>
        <v/>
      </c>
      <c r="B385" s="14"/>
      <c r="C385" s="15"/>
      <c r="D385" s="15"/>
      <c r="E385" s="15"/>
      <c r="F385" s="1"/>
      <c r="G385" s="1" t="str">
        <f t="shared" si="11"/>
        <v/>
      </c>
      <c r="H385" s="1"/>
    </row>
    <row r="386" spans="1:8">
      <c r="A386" s="4" t="str">
        <f t="shared" si="10"/>
        <v/>
      </c>
      <c r="B386" s="12"/>
      <c r="C386" s="13"/>
      <c r="D386" s="13"/>
      <c r="E386" s="13"/>
      <c r="F386" s="2"/>
      <c r="G386" s="2" t="str">
        <f t="shared" si="11"/>
        <v/>
      </c>
      <c r="H386" s="2"/>
    </row>
    <row r="387" spans="1:8">
      <c r="A387" s="3" t="str">
        <f t="shared" si="10"/>
        <v/>
      </c>
      <c r="B387" s="14"/>
      <c r="C387" s="15"/>
      <c r="D387" s="15"/>
      <c r="E387" s="15"/>
      <c r="F387" s="1"/>
      <c r="G387" s="1" t="str">
        <f t="shared" si="11"/>
        <v/>
      </c>
      <c r="H387" s="1"/>
    </row>
    <row r="388" spans="1:8">
      <c r="A388" s="4" t="str">
        <f t="shared" si="10"/>
        <v/>
      </c>
      <c r="B388" s="12"/>
      <c r="C388" s="13"/>
      <c r="D388" s="13"/>
      <c r="E388" s="13"/>
      <c r="F388" s="2"/>
      <c r="G388" s="2" t="str">
        <f t="shared" si="11"/>
        <v/>
      </c>
      <c r="H388" s="2"/>
    </row>
    <row r="389" spans="1:8">
      <c r="A389" s="3" t="str">
        <f t="shared" ref="A389:A452" si="12">IF(B389="","",ROW()-4)</f>
        <v/>
      </c>
      <c r="B389" s="14"/>
      <c r="C389" s="15"/>
      <c r="D389" s="15"/>
      <c r="E389" s="15"/>
      <c r="F389" s="1"/>
      <c r="G389" s="1" t="str">
        <f t="shared" ref="G389:G452" si="13">IF(B389="","","UNPAID")</f>
        <v/>
      </c>
      <c r="H389" s="1"/>
    </row>
    <row r="390" spans="1:8">
      <c r="A390" s="4" t="str">
        <f t="shared" si="12"/>
        <v/>
      </c>
      <c r="B390" s="12"/>
      <c r="C390" s="13"/>
      <c r="D390" s="13"/>
      <c r="E390" s="13"/>
      <c r="F390" s="2"/>
      <c r="G390" s="2" t="str">
        <f t="shared" si="13"/>
        <v/>
      </c>
      <c r="H390" s="2"/>
    </row>
    <row r="391" spans="1:8">
      <c r="A391" s="3" t="str">
        <f t="shared" si="12"/>
        <v/>
      </c>
      <c r="B391" s="14"/>
      <c r="C391" s="15"/>
      <c r="D391" s="15"/>
      <c r="E391" s="15"/>
      <c r="F391" s="1"/>
      <c r="G391" s="1" t="str">
        <f t="shared" si="13"/>
        <v/>
      </c>
      <c r="H391" s="1"/>
    </row>
    <row r="392" spans="1:8">
      <c r="A392" s="4" t="str">
        <f t="shared" si="12"/>
        <v/>
      </c>
      <c r="B392" s="12"/>
      <c r="C392" s="13"/>
      <c r="D392" s="13"/>
      <c r="E392" s="13"/>
      <c r="F392" s="2"/>
      <c r="G392" s="2" t="str">
        <f t="shared" si="13"/>
        <v/>
      </c>
      <c r="H392" s="2"/>
    </row>
    <row r="393" spans="1:8">
      <c r="A393" s="3" t="str">
        <f t="shared" si="12"/>
        <v/>
      </c>
      <c r="B393" s="14"/>
      <c r="C393" s="15"/>
      <c r="D393" s="15"/>
      <c r="E393" s="15"/>
      <c r="F393" s="1"/>
      <c r="G393" s="1" t="str">
        <f t="shared" si="13"/>
        <v/>
      </c>
      <c r="H393" s="1"/>
    </row>
    <row r="394" spans="1:8">
      <c r="A394" s="4" t="str">
        <f t="shared" si="12"/>
        <v/>
      </c>
      <c r="B394" s="12"/>
      <c r="C394" s="13"/>
      <c r="D394" s="13"/>
      <c r="E394" s="13"/>
      <c r="F394" s="2"/>
      <c r="G394" s="2" t="str">
        <f t="shared" si="13"/>
        <v/>
      </c>
      <c r="H394" s="2"/>
    </row>
    <row r="395" spans="1:8">
      <c r="A395" s="3" t="str">
        <f t="shared" si="12"/>
        <v/>
      </c>
      <c r="B395" s="14"/>
      <c r="C395" s="15"/>
      <c r="D395" s="15"/>
      <c r="E395" s="15"/>
      <c r="F395" s="1"/>
      <c r="G395" s="1" t="str">
        <f t="shared" si="13"/>
        <v/>
      </c>
      <c r="H395" s="1"/>
    </row>
    <row r="396" spans="1:8">
      <c r="A396" s="4" t="str">
        <f t="shared" si="12"/>
        <v/>
      </c>
      <c r="B396" s="12"/>
      <c r="C396" s="13"/>
      <c r="D396" s="13"/>
      <c r="E396" s="13"/>
      <c r="F396" s="2"/>
      <c r="G396" s="2" t="str">
        <f t="shared" si="13"/>
        <v/>
      </c>
      <c r="H396" s="2"/>
    </row>
    <row r="397" spans="1:8">
      <c r="A397" s="3" t="str">
        <f t="shared" si="12"/>
        <v/>
      </c>
      <c r="B397" s="14"/>
      <c r="C397" s="15"/>
      <c r="D397" s="15"/>
      <c r="E397" s="15"/>
      <c r="F397" s="1"/>
      <c r="G397" s="1" t="str">
        <f t="shared" si="13"/>
        <v/>
      </c>
      <c r="H397" s="1"/>
    </row>
    <row r="398" spans="1:8">
      <c r="A398" s="4" t="str">
        <f t="shared" si="12"/>
        <v/>
      </c>
      <c r="B398" s="12"/>
      <c r="C398" s="13"/>
      <c r="D398" s="13"/>
      <c r="E398" s="13"/>
      <c r="F398" s="2"/>
      <c r="G398" s="2" t="str">
        <f t="shared" si="13"/>
        <v/>
      </c>
      <c r="H398" s="2"/>
    </row>
    <row r="399" spans="1:8">
      <c r="A399" s="3" t="str">
        <f t="shared" si="12"/>
        <v/>
      </c>
      <c r="B399" s="14"/>
      <c r="C399" s="15"/>
      <c r="D399" s="15"/>
      <c r="E399" s="15"/>
      <c r="F399" s="1"/>
      <c r="G399" s="1" t="str">
        <f t="shared" si="13"/>
        <v/>
      </c>
      <c r="H399" s="1"/>
    </row>
    <row r="400" spans="1:8">
      <c r="A400" s="4" t="str">
        <f t="shared" si="12"/>
        <v/>
      </c>
      <c r="B400" s="12"/>
      <c r="C400" s="13"/>
      <c r="D400" s="13"/>
      <c r="E400" s="13"/>
      <c r="F400" s="2"/>
      <c r="G400" s="2" t="str">
        <f t="shared" si="13"/>
        <v/>
      </c>
      <c r="H400" s="2"/>
    </row>
    <row r="401" spans="1:8">
      <c r="A401" s="3" t="str">
        <f t="shared" si="12"/>
        <v/>
      </c>
      <c r="B401" s="14"/>
      <c r="C401" s="15"/>
      <c r="D401" s="15"/>
      <c r="E401" s="15"/>
      <c r="F401" s="1"/>
      <c r="G401" s="1" t="str">
        <f t="shared" si="13"/>
        <v/>
      </c>
      <c r="H401" s="1"/>
    </row>
    <row r="402" spans="1:8">
      <c r="A402" s="4" t="str">
        <f t="shared" si="12"/>
        <v/>
      </c>
      <c r="B402" s="12"/>
      <c r="C402" s="13"/>
      <c r="D402" s="13"/>
      <c r="E402" s="13"/>
      <c r="F402" s="2"/>
      <c r="G402" s="2" t="str">
        <f t="shared" si="13"/>
        <v/>
      </c>
      <c r="H402" s="2"/>
    </row>
    <row r="403" spans="1:8">
      <c r="A403" s="3" t="str">
        <f t="shared" si="12"/>
        <v/>
      </c>
      <c r="B403" s="14"/>
      <c r="C403" s="15"/>
      <c r="D403" s="15"/>
      <c r="E403" s="15"/>
      <c r="F403" s="1"/>
      <c r="G403" s="1" t="str">
        <f t="shared" si="13"/>
        <v/>
      </c>
      <c r="H403" s="1"/>
    </row>
    <row r="404" spans="1:8">
      <c r="A404" s="4" t="str">
        <f t="shared" si="12"/>
        <v/>
      </c>
      <c r="B404" s="12"/>
      <c r="C404" s="13"/>
      <c r="D404" s="13"/>
      <c r="E404" s="13"/>
      <c r="F404" s="2"/>
      <c r="G404" s="2" t="str">
        <f t="shared" si="13"/>
        <v/>
      </c>
      <c r="H404" s="2"/>
    </row>
    <row r="405" spans="1:8">
      <c r="A405" s="3" t="str">
        <f t="shared" si="12"/>
        <v/>
      </c>
      <c r="B405" s="14"/>
      <c r="C405" s="15"/>
      <c r="D405" s="15"/>
      <c r="E405" s="15"/>
      <c r="F405" s="1"/>
      <c r="G405" s="1" t="str">
        <f t="shared" si="13"/>
        <v/>
      </c>
      <c r="H405" s="1"/>
    </row>
    <row r="406" spans="1:8">
      <c r="A406" s="4" t="str">
        <f t="shared" si="12"/>
        <v/>
      </c>
      <c r="B406" s="12"/>
      <c r="C406" s="13"/>
      <c r="D406" s="13"/>
      <c r="E406" s="13"/>
      <c r="F406" s="2"/>
      <c r="G406" s="2" t="str">
        <f t="shared" si="13"/>
        <v/>
      </c>
      <c r="H406" s="2"/>
    </row>
    <row r="407" spans="1:8">
      <c r="A407" s="3" t="str">
        <f t="shared" si="12"/>
        <v/>
      </c>
      <c r="B407" s="14"/>
      <c r="C407" s="15"/>
      <c r="D407" s="15"/>
      <c r="E407" s="15"/>
      <c r="F407" s="1"/>
      <c r="G407" s="1" t="str">
        <f t="shared" si="13"/>
        <v/>
      </c>
      <c r="H407" s="1"/>
    </row>
    <row r="408" spans="1:8">
      <c r="A408" s="4" t="str">
        <f t="shared" si="12"/>
        <v/>
      </c>
      <c r="B408" s="12"/>
      <c r="C408" s="13"/>
      <c r="D408" s="13"/>
      <c r="E408" s="13"/>
      <c r="F408" s="2"/>
      <c r="G408" s="2" t="str">
        <f t="shared" si="13"/>
        <v/>
      </c>
      <c r="H408" s="2"/>
    </row>
    <row r="409" spans="1:8">
      <c r="A409" s="3" t="str">
        <f t="shared" si="12"/>
        <v/>
      </c>
      <c r="B409" s="14"/>
      <c r="C409" s="15"/>
      <c r="D409" s="15"/>
      <c r="E409" s="15"/>
      <c r="F409" s="1"/>
      <c r="G409" s="1" t="str">
        <f t="shared" si="13"/>
        <v/>
      </c>
      <c r="H409" s="1"/>
    </row>
    <row r="410" spans="1:8">
      <c r="A410" s="4" t="str">
        <f t="shared" si="12"/>
        <v/>
      </c>
      <c r="B410" s="12"/>
      <c r="C410" s="13"/>
      <c r="D410" s="13"/>
      <c r="E410" s="13"/>
      <c r="F410" s="2"/>
      <c r="G410" s="2" t="str">
        <f t="shared" si="13"/>
        <v/>
      </c>
      <c r="H410" s="2"/>
    </row>
    <row r="411" spans="1:8">
      <c r="A411" s="3" t="str">
        <f t="shared" si="12"/>
        <v/>
      </c>
      <c r="B411" s="14"/>
      <c r="C411" s="15"/>
      <c r="D411" s="15"/>
      <c r="E411" s="15"/>
      <c r="F411" s="1"/>
      <c r="G411" s="1" t="str">
        <f t="shared" si="13"/>
        <v/>
      </c>
      <c r="H411" s="1"/>
    </row>
    <row r="412" spans="1:8">
      <c r="A412" s="4" t="str">
        <f t="shared" si="12"/>
        <v/>
      </c>
      <c r="B412" s="12"/>
      <c r="C412" s="13"/>
      <c r="D412" s="13"/>
      <c r="E412" s="13"/>
      <c r="F412" s="2"/>
      <c r="G412" s="2" t="str">
        <f t="shared" si="13"/>
        <v/>
      </c>
      <c r="H412" s="2"/>
    </row>
    <row r="413" spans="1:8">
      <c r="A413" s="3" t="str">
        <f t="shared" si="12"/>
        <v/>
      </c>
      <c r="B413" s="14"/>
      <c r="C413" s="15"/>
      <c r="D413" s="15"/>
      <c r="E413" s="15"/>
      <c r="F413" s="1"/>
      <c r="G413" s="1" t="str">
        <f t="shared" si="13"/>
        <v/>
      </c>
      <c r="H413" s="1"/>
    </row>
    <row r="414" spans="1:8">
      <c r="A414" s="4" t="str">
        <f t="shared" si="12"/>
        <v/>
      </c>
      <c r="B414" s="12"/>
      <c r="C414" s="13"/>
      <c r="D414" s="13"/>
      <c r="E414" s="13"/>
      <c r="F414" s="2"/>
      <c r="G414" s="2" t="str">
        <f t="shared" si="13"/>
        <v/>
      </c>
      <c r="H414" s="2"/>
    </row>
    <row r="415" spans="1:8">
      <c r="A415" s="3" t="str">
        <f t="shared" si="12"/>
        <v/>
      </c>
      <c r="B415" s="14"/>
      <c r="C415" s="15"/>
      <c r="D415" s="15"/>
      <c r="E415" s="15"/>
      <c r="F415" s="1"/>
      <c r="G415" s="1" t="str">
        <f t="shared" si="13"/>
        <v/>
      </c>
      <c r="H415" s="1"/>
    </row>
    <row r="416" spans="1:8">
      <c r="A416" s="4" t="str">
        <f t="shared" si="12"/>
        <v/>
      </c>
      <c r="B416" s="12"/>
      <c r="C416" s="13"/>
      <c r="D416" s="13"/>
      <c r="E416" s="13"/>
      <c r="F416" s="2"/>
      <c r="G416" s="2" t="str">
        <f t="shared" si="13"/>
        <v/>
      </c>
      <c r="H416" s="2"/>
    </row>
    <row r="417" spans="1:8">
      <c r="A417" s="3" t="str">
        <f t="shared" si="12"/>
        <v/>
      </c>
      <c r="B417" s="14"/>
      <c r="C417" s="15"/>
      <c r="D417" s="15"/>
      <c r="E417" s="15"/>
      <c r="F417" s="1"/>
      <c r="G417" s="1" t="str">
        <f t="shared" si="13"/>
        <v/>
      </c>
      <c r="H417" s="1"/>
    </row>
    <row r="418" spans="1:8">
      <c r="A418" s="4" t="str">
        <f t="shared" si="12"/>
        <v/>
      </c>
      <c r="B418" s="12"/>
      <c r="C418" s="13"/>
      <c r="D418" s="13"/>
      <c r="E418" s="13"/>
      <c r="F418" s="2"/>
      <c r="G418" s="2" t="str">
        <f t="shared" si="13"/>
        <v/>
      </c>
      <c r="H418" s="2"/>
    </row>
    <row r="419" spans="1:8">
      <c r="A419" s="3" t="str">
        <f t="shared" si="12"/>
        <v/>
      </c>
      <c r="B419" s="14"/>
      <c r="C419" s="15"/>
      <c r="D419" s="15"/>
      <c r="E419" s="15"/>
      <c r="F419" s="1"/>
      <c r="G419" s="1" t="str">
        <f t="shared" si="13"/>
        <v/>
      </c>
      <c r="H419" s="1"/>
    </row>
    <row r="420" spans="1:8">
      <c r="A420" s="4" t="str">
        <f t="shared" si="12"/>
        <v/>
      </c>
      <c r="B420" s="12"/>
      <c r="C420" s="13"/>
      <c r="D420" s="13"/>
      <c r="E420" s="13"/>
      <c r="F420" s="2"/>
      <c r="G420" s="2" t="str">
        <f t="shared" si="13"/>
        <v/>
      </c>
      <c r="H420" s="2"/>
    </row>
    <row r="421" spans="1:8">
      <c r="A421" s="3" t="str">
        <f t="shared" si="12"/>
        <v/>
      </c>
      <c r="B421" s="14"/>
      <c r="C421" s="15"/>
      <c r="D421" s="15"/>
      <c r="E421" s="15"/>
      <c r="F421" s="1"/>
      <c r="G421" s="1" t="str">
        <f t="shared" si="13"/>
        <v/>
      </c>
      <c r="H421" s="1"/>
    </row>
    <row r="422" spans="1:8">
      <c r="A422" s="4" t="str">
        <f t="shared" si="12"/>
        <v/>
      </c>
      <c r="B422" s="12"/>
      <c r="C422" s="13"/>
      <c r="D422" s="13"/>
      <c r="E422" s="13"/>
      <c r="F422" s="2"/>
      <c r="G422" s="2" t="str">
        <f t="shared" si="13"/>
        <v/>
      </c>
      <c r="H422" s="2"/>
    </row>
    <row r="423" spans="1:8">
      <c r="A423" s="3" t="str">
        <f t="shared" si="12"/>
        <v/>
      </c>
      <c r="B423" s="14"/>
      <c r="C423" s="15"/>
      <c r="D423" s="15"/>
      <c r="E423" s="15"/>
      <c r="F423" s="1"/>
      <c r="G423" s="1" t="str">
        <f t="shared" si="13"/>
        <v/>
      </c>
      <c r="H423" s="1"/>
    </row>
    <row r="424" spans="1:8">
      <c r="A424" s="4" t="str">
        <f t="shared" si="12"/>
        <v/>
      </c>
      <c r="B424" s="12"/>
      <c r="C424" s="13"/>
      <c r="D424" s="13"/>
      <c r="E424" s="13"/>
      <c r="F424" s="2"/>
      <c r="G424" s="2" t="str">
        <f t="shared" si="13"/>
        <v/>
      </c>
      <c r="H424" s="2"/>
    </row>
    <row r="425" spans="1:8">
      <c r="A425" s="3" t="str">
        <f t="shared" si="12"/>
        <v/>
      </c>
      <c r="B425" s="14"/>
      <c r="C425" s="15"/>
      <c r="D425" s="15"/>
      <c r="E425" s="15"/>
      <c r="F425" s="1"/>
      <c r="G425" s="1" t="str">
        <f t="shared" si="13"/>
        <v/>
      </c>
      <c r="H425" s="1"/>
    </row>
    <row r="426" spans="1:8">
      <c r="A426" s="4" t="str">
        <f t="shared" si="12"/>
        <v/>
      </c>
      <c r="B426" s="12"/>
      <c r="C426" s="13"/>
      <c r="D426" s="13"/>
      <c r="E426" s="13"/>
      <c r="F426" s="2"/>
      <c r="G426" s="2" t="str">
        <f t="shared" si="13"/>
        <v/>
      </c>
      <c r="H426" s="2"/>
    </row>
    <row r="427" spans="1:8">
      <c r="A427" s="3" t="str">
        <f t="shared" si="12"/>
        <v/>
      </c>
      <c r="B427" s="14"/>
      <c r="C427" s="15"/>
      <c r="D427" s="15"/>
      <c r="E427" s="15"/>
      <c r="F427" s="1"/>
      <c r="G427" s="1" t="str">
        <f t="shared" si="13"/>
        <v/>
      </c>
      <c r="H427" s="1"/>
    </row>
    <row r="428" spans="1:8">
      <c r="A428" s="4" t="str">
        <f t="shared" si="12"/>
        <v/>
      </c>
      <c r="B428" s="12"/>
      <c r="C428" s="13"/>
      <c r="D428" s="13"/>
      <c r="E428" s="13"/>
      <c r="F428" s="2"/>
      <c r="G428" s="2" t="str">
        <f t="shared" si="13"/>
        <v/>
      </c>
      <c r="H428" s="2"/>
    </row>
    <row r="429" spans="1:8">
      <c r="A429" s="3" t="str">
        <f t="shared" si="12"/>
        <v/>
      </c>
      <c r="B429" s="14"/>
      <c r="C429" s="15"/>
      <c r="D429" s="15"/>
      <c r="E429" s="15"/>
      <c r="F429" s="1"/>
      <c r="G429" s="1" t="str">
        <f t="shared" si="13"/>
        <v/>
      </c>
      <c r="H429" s="1"/>
    </row>
    <row r="430" spans="1:8">
      <c r="A430" s="4" t="str">
        <f t="shared" si="12"/>
        <v/>
      </c>
      <c r="B430" s="12"/>
      <c r="C430" s="13"/>
      <c r="D430" s="13"/>
      <c r="E430" s="13"/>
      <c r="F430" s="2"/>
      <c r="G430" s="2" t="str">
        <f t="shared" si="13"/>
        <v/>
      </c>
      <c r="H430" s="2"/>
    </row>
    <row r="431" spans="1:8">
      <c r="A431" s="3" t="str">
        <f t="shared" si="12"/>
        <v/>
      </c>
      <c r="B431" s="14"/>
      <c r="C431" s="15"/>
      <c r="D431" s="15"/>
      <c r="E431" s="15"/>
      <c r="F431" s="1"/>
      <c r="G431" s="1" t="str">
        <f t="shared" si="13"/>
        <v/>
      </c>
      <c r="H431" s="1"/>
    </row>
    <row r="432" spans="1:8">
      <c r="A432" s="4" t="str">
        <f t="shared" si="12"/>
        <v/>
      </c>
      <c r="B432" s="12"/>
      <c r="C432" s="13"/>
      <c r="D432" s="13"/>
      <c r="E432" s="13"/>
      <c r="F432" s="2"/>
      <c r="G432" s="2" t="str">
        <f t="shared" si="13"/>
        <v/>
      </c>
      <c r="H432" s="2"/>
    </row>
    <row r="433" spans="1:8">
      <c r="A433" s="3" t="str">
        <f t="shared" si="12"/>
        <v/>
      </c>
      <c r="B433" s="14"/>
      <c r="C433" s="15"/>
      <c r="D433" s="15"/>
      <c r="E433" s="15"/>
      <c r="F433" s="1"/>
      <c r="G433" s="1" t="str">
        <f t="shared" si="13"/>
        <v/>
      </c>
      <c r="H433" s="1"/>
    </row>
    <row r="434" spans="1:8">
      <c r="A434" s="4" t="str">
        <f t="shared" si="12"/>
        <v/>
      </c>
      <c r="B434" s="12"/>
      <c r="C434" s="13"/>
      <c r="D434" s="13"/>
      <c r="E434" s="13"/>
      <c r="F434" s="2"/>
      <c r="G434" s="2" t="str">
        <f t="shared" si="13"/>
        <v/>
      </c>
      <c r="H434" s="2"/>
    </row>
    <row r="435" spans="1:8">
      <c r="A435" s="3" t="str">
        <f t="shared" si="12"/>
        <v/>
      </c>
      <c r="B435" s="14"/>
      <c r="C435" s="15"/>
      <c r="D435" s="15"/>
      <c r="E435" s="15"/>
      <c r="F435" s="1"/>
      <c r="G435" s="1" t="str">
        <f t="shared" si="13"/>
        <v/>
      </c>
      <c r="H435" s="1"/>
    </row>
    <row r="436" spans="1:8">
      <c r="A436" s="4" t="str">
        <f t="shared" si="12"/>
        <v/>
      </c>
      <c r="B436" s="12"/>
      <c r="C436" s="13"/>
      <c r="D436" s="13"/>
      <c r="E436" s="13"/>
      <c r="F436" s="2"/>
      <c r="G436" s="2" t="str">
        <f t="shared" si="13"/>
        <v/>
      </c>
      <c r="H436" s="2"/>
    </row>
    <row r="437" spans="1:8">
      <c r="A437" s="3" t="str">
        <f t="shared" si="12"/>
        <v/>
      </c>
      <c r="B437" s="14"/>
      <c r="C437" s="15"/>
      <c r="D437" s="15"/>
      <c r="E437" s="15"/>
      <c r="F437" s="1"/>
      <c r="G437" s="1" t="str">
        <f t="shared" si="13"/>
        <v/>
      </c>
      <c r="H437" s="1"/>
    </row>
    <row r="438" spans="1:8">
      <c r="A438" s="4" t="str">
        <f t="shared" si="12"/>
        <v/>
      </c>
      <c r="B438" s="12"/>
      <c r="C438" s="13"/>
      <c r="D438" s="13"/>
      <c r="E438" s="13"/>
      <c r="F438" s="2"/>
      <c r="G438" s="2" t="str">
        <f t="shared" si="13"/>
        <v/>
      </c>
      <c r="H438" s="2"/>
    </row>
    <row r="439" spans="1:8">
      <c r="A439" s="3" t="str">
        <f t="shared" si="12"/>
        <v/>
      </c>
      <c r="B439" s="14"/>
      <c r="C439" s="15"/>
      <c r="D439" s="15"/>
      <c r="E439" s="15"/>
      <c r="F439" s="1"/>
      <c r="G439" s="1" t="str">
        <f t="shared" si="13"/>
        <v/>
      </c>
      <c r="H439" s="1"/>
    </row>
    <row r="440" spans="1:8">
      <c r="A440" s="4" t="str">
        <f t="shared" si="12"/>
        <v/>
      </c>
      <c r="B440" s="12"/>
      <c r="C440" s="13"/>
      <c r="D440" s="13"/>
      <c r="E440" s="13"/>
      <c r="F440" s="2"/>
      <c r="G440" s="2" t="str">
        <f t="shared" si="13"/>
        <v/>
      </c>
      <c r="H440" s="2"/>
    </row>
    <row r="441" spans="1:8">
      <c r="A441" s="3" t="str">
        <f t="shared" si="12"/>
        <v/>
      </c>
      <c r="B441" s="14"/>
      <c r="C441" s="15"/>
      <c r="D441" s="15"/>
      <c r="E441" s="15"/>
      <c r="F441" s="1"/>
      <c r="G441" s="1" t="str">
        <f t="shared" si="13"/>
        <v/>
      </c>
      <c r="H441" s="1"/>
    </row>
    <row r="442" spans="1:8">
      <c r="A442" s="4" t="str">
        <f t="shared" si="12"/>
        <v/>
      </c>
      <c r="B442" s="12"/>
      <c r="C442" s="13"/>
      <c r="D442" s="13"/>
      <c r="E442" s="13"/>
      <c r="F442" s="2"/>
      <c r="G442" s="2" t="str">
        <f t="shared" si="13"/>
        <v/>
      </c>
      <c r="H442" s="2"/>
    </row>
    <row r="443" spans="1:8">
      <c r="A443" s="3" t="str">
        <f t="shared" si="12"/>
        <v/>
      </c>
      <c r="B443" s="14"/>
      <c r="C443" s="15"/>
      <c r="D443" s="15"/>
      <c r="E443" s="15"/>
      <c r="F443" s="1"/>
      <c r="G443" s="1" t="str">
        <f t="shared" si="13"/>
        <v/>
      </c>
      <c r="H443" s="1"/>
    </row>
    <row r="444" spans="1:8">
      <c r="A444" s="4" t="str">
        <f t="shared" si="12"/>
        <v/>
      </c>
      <c r="B444" s="12"/>
      <c r="C444" s="13"/>
      <c r="D444" s="13"/>
      <c r="E444" s="13"/>
      <c r="F444" s="2"/>
      <c r="G444" s="2" t="str">
        <f t="shared" si="13"/>
        <v/>
      </c>
      <c r="H444" s="2"/>
    </row>
    <row r="445" spans="1:8">
      <c r="A445" s="3" t="str">
        <f t="shared" si="12"/>
        <v/>
      </c>
      <c r="B445" s="14"/>
      <c r="C445" s="15"/>
      <c r="D445" s="15"/>
      <c r="E445" s="15"/>
      <c r="F445" s="1"/>
      <c r="G445" s="1" t="str">
        <f t="shared" si="13"/>
        <v/>
      </c>
      <c r="H445" s="1"/>
    </row>
    <row r="446" spans="1:8">
      <c r="A446" s="4" t="str">
        <f t="shared" si="12"/>
        <v/>
      </c>
      <c r="B446" s="12"/>
      <c r="C446" s="13"/>
      <c r="D446" s="13"/>
      <c r="E446" s="13"/>
      <c r="F446" s="2"/>
      <c r="G446" s="2" t="str">
        <f t="shared" si="13"/>
        <v/>
      </c>
      <c r="H446" s="2"/>
    </row>
    <row r="447" spans="1:8">
      <c r="A447" s="3" t="str">
        <f t="shared" si="12"/>
        <v/>
      </c>
      <c r="B447" s="14"/>
      <c r="C447" s="15"/>
      <c r="D447" s="15"/>
      <c r="E447" s="15"/>
      <c r="F447" s="1"/>
      <c r="G447" s="1" t="str">
        <f t="shared" si="13"/>
        <v/>
      </c>
      <c r="H447" s="1"/>
    </row>
    <row r="448" spans="1:8">
      <c r="A448" s="4" t="str">
        <f t="shared" si="12"/>
        <v/>
      </c>
      <c r="B448" s="12"/>
      <c r="C448" s="13"/>
      <c r="D448" s="13"/>
      <c r="E448" s="13"/>
      <c r="F448" s="2"/>
      <c r="G448" s="2" t="str">
        <f t="shared" si="13"/>
        <v/>
      </c>
      <c r="H448" s="2"/>
    </row>
    <row r="449" spans="1:8">
      <c r="A449" s="3" t="str">
        <f t="shared" si="12"/>
        <v/>
      </c>
      <c r="B449" s="14"/>
      <c r="C449" s="15"/>
      <c r="D449" s="15"/>
      <c r="E449" s="15"/>
      <c r="F449" s="1"/>
      <c r="G449" s="1" t="str">
        <f t="shared" si="13"/>
        <v/>
      </c>
      <c r="H449" s="1"/>
    </row>
    <row r="450" spans="1:8">
      <c r="A450" s="4" t="str">
        <f t="shared" si="12"/>
        <v/>
      </c>
      <c r="B450" s="12"/>
      <c r="C450" s="13"/>
      <c r="D450" s="13"/>
      <c r="E450" s="13"/>
      <c r="F450" s="2"/>
      <c r="G450" s="2" t="str">
        <f t="shared" si="13"/>
        <v/>
      </c>
      <c r="H450" s="2"/>
    </row>
    <row r="451" spans="1:8">
      <c r="A451" s="3" t="str">
        <f t="shared" si="12"/>
        <v/>
      </c>
      <c r="B451" s="14"/>
      <c r="C451" s="15"/>
      <c r="D451" s="15"/>
      <c r="E451" s="15"/>
      <c r="F451" s="1"/>
      <c r="G451" s="1" t="str">
        <f t="shared" si="13"/>
        <v/>
      </c>
      <c r="H451" s="1"/>
    </row>
    <row r="452" spans="1:8">
      <c r="A452" s="4" t="str">
        <f t="shared" si="12"/>
        <v/>
      </c>
      <c r="B452" s="12"/>
      <c r="C452" s="13"/>
      <c r="D452" s="13"/>
      <c r="E452" s="13"/>
      <c r="F452" s="2"/>
      <c r="G452" s="2" t="str">
        <f t="shared" si="13"/>
        <v/>
      </c>
      <c r="H452" s="2"/>
    </row>
    <row r="453" spans="1:8">
      <c r="A453" s="3" t="str">
        <f t="shared" ref="A453:A502" si="14">IF(B453="","",ROW()-4)</f>
        <v/>
      </c>
      <c r="B453" s="14"/>
      <c r="C453" s="15"/>
      <c r="D453" s="15"/>
      <c r="E453" s="15"/>
      <c r="F453" s="1"/>
      <c r="G453" s="1" t="str">
        <f t="shared" ref="G453:G502" si="15">IF(B453="","","UNPAID")</f>
        <v/>
      </c>
      <c r="H453" s="1"/>
    </row>
    <row r="454" spans="1:8">
      <c r="A454" s="4" t="str">
        <f t="shared" si="14"/>
        <v/>
      </c>
      <c r="B454" s="12"/>
      <c r="C454" s="13"/>
      <c r="D454" s="13"/>
      <c r="E454" s="13"/>
      <c r="F454" s="2"/>
      <c r="G454" s="2" t="str">
        <f t="shared" si="15"/>
        <v/>
      </c>
      <c r="H454" s="2"/>
    </row>
    <row r="455" spans="1:8">
      <c r="A455" s="3" t="str">
        <f t="shared" si="14"/>
        <v/>
      </c>
      <c r="B455" s="14"/>
      <c r="C455" s="15"/>
      <c r="D455" s="15"/>
      <c r="E455" s="15"/>
      <c r="F455" s="1"/>
      <c r="G455" s="1" t="str">
        <f t="shared" si="15"/>
        <v/>
      </c>
      <c r="H455" s="1"/>
    </row>
    <row r="456" spans="1:8">
      <c r="A456" s="4" t="str">
        <f t="shared" si="14"/>
        <v/>
      </c>
      <c r="B456" s="12"/>
      <c r="C456" s="13"/>
      <c r="D456" s="13"/>
      <c r="E456" s="13"/>
      <c r="F456" s="2"/>
      <c r="G456" s="2" t="str">
        <f t="shared" si="15"/>
        <v/>
      </c>
      <c r="H456" s="2"/>
    </row>
    <row r="457" spans="1:8">
      <c r="A457" s="3" t="str">
        <f t="shared" si="14"/>
        <v/>
      </c>
      <c r="B457" s="14"/>
      <c r="C457" s="15"/>
      <c r="D457" s="15"/>
      <c r="E457" s="15"/>
      <c r="F457" s="1"/>
      <c r="G457" s="1" t="str">
        <f t="shared" si="15"/>
        <v/>
      </c>
      <c r="H457" s="1"/>
    </row>
    <row r="458" spans="1:8">
      <c r="A458" s="4" t="str">
        <f t="shared" si="14"/>
        <v/>
      </c>
      <c r="B458" s="12"/>
      <c r="C458" s="13"/>
      <c r="D458" s="13"/>
      <c r="E458" s="13"/>
      <c r="F458" s="2"/>
      <c r="G458" s="2" t="str">
        <f t="shared" si="15"/>
        <v/>
      </c>
      <c r="H458" s="2"/>
    </row>
    <row r="459" spans="1:8">
      <c r="A459" s="3" t="str">
        <f t="shared" si="14"/>
        <v/>
      </c>
      <c r="B459" s="14"/>
      <c r="C459" s="15"/>
      <c r="D459" s="15"/>
      <c r="E459" s="15"/>
      <c r="F459" s="1"/>
      <c r="G459" s="1" t="str">
        <f t="shared" si="15"/>
        <v/>
      </c>
      <c r="H459" s="1"/>
    </row>
    <row r="460" spans="1:8">
      <c r="A460" s="4" t="str">
        <f t="shared" si="14"/>
        <v/>
      </c>
      <c r="B460" s="12"/>
      <c r="C460" s="13"/>
      <c r="D460" s="13"/>
      <c r="E460" s="13"/>
      <c r="F460" s="2"/>
      <c r="G460" s="2" t="str">
        <f t="shared" si="15"/>
        <v/>
      </c>
      <c r="H460" s="2"/>
    </row>
    <row r="461" spans="1:8">
      <c r="A461" s="3" t="str">
        <f t="shared" si="14"/>
        <v/>
      </c>
      <c r="B461" s="14"/>
      <c r="C461" s="15"/>
      <c r="D461" s="15"/>
      <c r="E461" s="15"/>
      <c r="F461" s="1"/>
      <c r="G461" s="1" t="str">
        <f t="shared" si="15"/>
        <v/>
      </c>
      <c r="H461" s="1"/>
    </row>
    <row r="462" spans="1:8">
      <c r="A462" s="4" t="str">
        <f t="shared" si="14"/>
        <v/>
      </c>
      <c r="B462" s="12"/>
      <c r="C462" s="13"/>
      <c r="D462" s="13"/>
      <c r="E462" s="13"/>
      <c r="F462" s="2"/>
      <c r="G462" s="2" t="str">
        <f t="shared" si="15"/>
        <v/>
      </c>
      <c r="H462" s="2"/>
    </row>
    <row r="463" spans="1:8">
      <c r="A463" s="3" t="str">
        <f t="shared" si="14"/>
        <v/>
      </c>
      <c r="B463" s="14"/>
      <c r="C463" s="15"/>
      <c r="D463" s="15"/>
      <c r="E463" s="15"/>
      <c r="F463" s="1"/>
      <c r="G463" s="1" t="str">
        <f t="shared" si="15"/>
        <v/>
      </c>
      <c r="H463" s="1"/>
    </row>
    <row r="464" spans="1:8">
      <c r="A464" s="4" t="str">
        <f t="shared" si="14"/>
        <v/>
      </c>
      <c r="B464" s="12"/>
      <c r="C464" s="13"/>
      <c r="D464" s="13"/>
      <c r="E464" s="13"/>
      <c r="F464" s="2"/>
      <c r="G464" s="2" t="str">
        <f t="shared" si="15"/>
        <v/>
      </c>
      <c r="H464" s="2"/>
    </row>
    <row r="465" spans="1:8">
      <c r="A465" s="3" t="str">
        <f t="shared" si="14"/>
        <v/>
      </c>
      <c r="B465" s="14"/>
      <c r="C465" s="15"/>
      <c r="D465" s="15"/>
      <c r="E465" s="15"/>
      <c r="F465" s="1"/>
      <c r="G465" s="1" t="str">
        <f t="shared" si="15"/>
        <v/>
      </c>
      <c r="H465" s="1"/>
    </row>
    <row r="466" spans="1:8">
      <c r="A466" s="4" t="str">
        <f t="shared" si="14"/>
        <v/>
      </c>
      <c r="B466" s="12"/>
      <c r="C466" s="13"/>
      <c r="D466" s="13"/>
      <c r="E466" s="13"/>
      <c r="F466" s="2"/>
      <c r="G466" s="2" t="str">
        <f t="shared" si="15"/>
        <v/>
      </c>
      <c r="H466" s="2"/>
    </row>
    <row r="467" spans="1:8">
      <c r="A467" s="3" t="str">
        <f t="shared" si="14"/>
        <v/>
      </c>
      <c r="B467" s="14"/>
      <c r="C467" s="15"/>
      <c r="D467" s="15"/>
      <c r="E467" s="15"/>
      <c r="F467" s="1"/>
      <c r="G467" s="1" t="str">
        <f t="shared" si="15"/>
        <v/>
      </c>
      <c r="H467" s="1"/>
    </row>
    <row r="468" spans="1:8">
      <c r="A468" s="4" t="str">
        <f t="shared" si="14"/>
        <v/>
      </c>
      <c r="B468" s="12"/>
      <c r="C468" s="13"/>
      <c r="D468" s="13"/>
      <c r="E468" s="13"/>
      <c r="F468" s="2"/>
      <c r="G468" s="2" t="str">
        <f t="shared" si="15"/>
        <v/>
      </c>
      <c r="H468" s="2"/>
    </row>
    <row r="469" spans="1:8">
      <c r="A469" s="3" t="str">
        <f t="shared" si="14"/>
        <v/>
      </c>
      <c r="B469" s="14"/>
      <c r="C469" s="15"/>
      <c r="D469" s="15"/>
      <c r="E469" s="15"/>
      <c r="F469" s="1"/>
      <c r="G469" s="1" t="str">
        <f t="shared" si="15"/>
        <v/>
      </c>
      <c r="H469" s="1"/>
    </row>
    <row r="470" spans="1:8">
      <c r="A470" s="4" t="str">
        <f t="shared" si="14"/>
        <v/>
      </c>
      <c r="B470" s="12"/>
      <c r="C470" s="13"/>
      <c r="D470" s="13"/>
      <c r="E470" s="13"/>
      <c r="F470" s="2"/>
      <c r="G470" s="2" t="str">
        <f t="shared" si="15"/>
        <v/>
      </c>
      <c r="H470" s="2"/>
    </row>
    <row r="471" spans="1:8">
      <c r="A471" s="3" t="str">
        <f t="shared" si="14"/>
        <v/>
      </c>
      <c r="B471" s="14"/>
      <c r="C471" s="15"/>
      <c r="D471" s="15"/>
      <c r="E471" s="15"/>
      <c r="F471" s="1"/>
      <c r="G471" s="1" t="str">
        <f t="shared" si="15"/>
        <v/>
      </c>
      <c r="H471" s="1"/>
    </row>
    <row r="472" spans="1:8">
      <c r="A472" s="4" t="str">
        <f t="shared" si="14"/>
        <v/>
      </c>
      <c r="B472" s="12"/>
      <c r="C472" s="13"/>
      <c r="D472" s="13"/>
      <c r="E472" s="13"/>
      <c r="F472" s="2"/>
      <c r="G472" s="2" t="str">
        <f t="shared" si="15"/>
        <v/>
      </c>
      <c r="H472" s="2"/>
    </row>
    <row r="473" spans="1:8">
      <c r="A473" s="3" t="str">
        <f t="shared" si="14"/>
        <v/>
      </c>
      <c r="B473" s="14"/>
      <c r="C473" s="15"/>
      <c r="D473" s="15"/>
      <c r="E473" s="15"/>
      <c r="F473" s="1"/>
      <c r="G473" s="1" t="str">
        <f t="shared" si="15"/>
        <v/>
      </c>
      <c r="H473" s="1"/>
    </row>
    <row r="474" spans="1:8">
      <c r="A474" s="4" t="str">
        <f t="shared" si="14"/>
        <v/>
      </c>
      <c r="B474" s="12"/>
      <c r="C474" s="13"/>
      <c r="D474" s="13"/>
      <c r="E474" s="13"/>
      <c r="F474" s="2"/>
      <c r="G474" s="2" t="str">
        <f t="shared" si="15"/>
        <v/>
      </c>
      <c r="H474" s="2"/>
    </row>
    <row r="475" spans="1:8">
      <c r="A475" s="3" t="str">
        <f t="shared" si="14"/>
        <v/>
      </c>
      <c r="B475" s="14"/>
      <c r="C475" s="15"/>
      <c r="D475" s="15"/>
      <c r="E475" s="15"/>
      <c r="F475" s="1"/>
      <c r="G475" s="1" t="str">
        <f t="shared" si="15"/>
        <v/>
      </c>
      <c r="H475" s="1"/>
    </row>
    <row r="476" spans="1:8">
      <c r="A476" s="4" t="str">
        <f t="shared" si="14"/>
        <v/>
      </c>
      <c r="B476" s="12"/>
      <c r="C476" s="13"/>
      <c r="D476" s="13"/>
      <c r="E476" s="13"/>
      <c r="F476" s="2"/>
      <c r="G476" s="2" t="str">
        <f t="shared" si="15"/>
        <v/>
      </c>
      <c r="H476" s="2"/>
    </row>
    <row r="477" spans="1:8">
      <c r="A477" s="3" t="str">
        <f t="shared" si="14"/>
        <v/>
      </c>
      <c r="B477" s="14"/>
      <c r="C477" s="15"/>
      <c r="D477" s="15"/>
      <c r="E477" s="15"/>
      <c r="F477" s="1"/>
      <c r="G477" s="1" t="str">
        <f t="shared" si="15"/>
        <v/>
      </c>
      <c r="H477" s="1"/>
    </row>
    <row r="478" spans="1:8">
      <c r="A478" s="4" t="str">
        <f t="shared" si="14"/>
        <v/>
      </c>
      <c r="B478" s="12"/>
      <c r="C478" s="13"/>
      <c r="D478" s="13"/>
      <c r="E478" s="13"/>
      <c r="F478" s="2"/>
      <c r="G478" s="2" t="str">
        <f t="shared" si="15"/>
        <v/>
      </c>
      <c r="H478" s="2"/>
    </row>
    <row r="479" spans="1:8">
      <c r="A479" s="3" t="str">
        <f t="shared" si="14"/>
        <v/>
      </c>
      <c r="B479" s="14"/>
      <c r="C479" s="15"/>
      <c r="D479" s="15"/>
      <c r="E479" s="15"/>
      <c r="F479" s="1"/>
      <c r="G479" s="1" t="str">
        <f t="shared" si="15"/>
        <v/>
      </c>
      <c r="H479" s="1"/>
    </row>
    <row r="480" spans="1:8">
      <c r="A480" s="4" t="str">
        <f t="shared" si="14"/>
        <v/>
      </c>
      <c r="B480" s="12"/>
      <c r="C480" s="13"/>
      <c r="D480" s="13"/>
      <c r="E480" s="13"/>
      <c r="F480" s="2"/>
      <c r="G480" s="2" t="str">
        <f t="shared" si="15"/>
        <v/>
      </c>
      <c r="H480" s="2"/>
    </row>
    <row r="481" spans="1:8">
      <c r="A481" s="3" t="str">
        <f t="shared" si="14"/>
        <v/>
      </c>
      <c r="B481" s="14"/>
      <c r="C481" s="15"/>
      <c r="D481" s="15"/>
      <c r="E481" s="15"/>
      <c r="F481" s="1"/>
      <c r="G481" s="1" t="str">
        <f t="shared" si="15"/>
        <v/>
      </c>
      <c r="H481" s="1"/>
    </row>
    <row r="482" spans="1:8">
      <c r="A482" s="4" t="str">
        <f t="shared" si="14"/>
        <v/>
      </c>
      <c r="B482" s="12"/>
      <c r="C482" s="13"/>
      <c r="D482" s="13"/>
      <c r="E482" s="13"/>
      <c r="F482" s="2"/>
      <c r="G482" s="2" t="str">
        <f t="shared" si="15"/>
        <v/>
      </c>
      <c r="H482" s="2"/>
    </row>
    <row r="483" spans="1:8">
      <c r="A483" s="3" t="str">
        <f t="shared" si="14"/>
        <v/>
      </c>
      <c r="B483" s="14"/>
      <c r="C483" s="15"/>
      <c r="D483" s="15"/>
      <c r="E483" s="15"/>
      <c r="F483" s="1"/>
      <c r="G483" s="1" t="str">
        <f t="shared" si="15"/>
        <v/>
      </c>
      <c r="H483" s="1"/>
    </row>
    <row r="484" spans="1:8">
      <c r="A484" s="4" t="str">
        <f t="shared" si="14"/>
        <v/>
      </c>
      <c r="B484" s="12"/>
      <c r="C484" s="13"/>
      <c r="D484" s="13"/>
      <c r="E484" s="13"/>
      <c r="F484" s="2"/>
      <c r="G484" s="2" t="str">
        <f t="shared" si="15"/>
        <v/>
      </c>
      <c r="H484" s="2"/>
    </row>
    <row r="485" spans="1:8">
      <c r="A485" s="3" t="str">
        <f t="shared" si="14"/>
        <v/>
      </c>
      <c r="B485" s="14"/>
      <c r="C485" s="15"/>
      <c r="D485" s="15"/>
      <c r="E485" s="15"/>
      <c r="F485" s="1"/>
      <c r="G485" s="1" t="str">
        <f t="shared" si="15"/>
        <v/>
      </c>
      <c r="H485" s="1"/>
    </row>
    <row r="486" spans="1:8">
      <c r="A486" s="4" t="str">
        <f t="shared" si="14"/>
        <v/>
      </c>
      <c r="B486" s="12"/>
      <c r="C486" s="13"/>
      <c r="D486" s="13"/>
      <c r="E486" s="13"/>
      <c r="F486" s="2"/>
      <c r="G486" s="2" t="str">
        <f t="shared" si="15"/>
        <v/>
      </c>
      <c r="H486" s="2"/>
    </row>
    <row r="487" spans="1:8">
      <c r="A487" s="3" t="str">
        <f t="shared" si="14"/>
        <v/>
      </c>
      <c r="B487" s="14"/>
      <c r="C487" s="15"/>
      <c r="D487" s="15"/>
      <c r="E487" s="15"/>
      <c r="F487" s="1"/>
      <c r="G487" s="1" t="str">
        <f t="shared" si="15"/>
        <v/>
      </c>
      <c r="H487" s="1"/>
    </row>
    <row r="488" spans="1:8">
      <c r="A488" s="4" t="str">
        <f t="shared" si="14"/>
        <v/>
      </c>
      <c r="B488" s="12"/>
      <c r="C488" s="13"/>
      <c r="D488" s="13"/>
      <c r="E488" s="13"/>
      <c r="F488" s="2"/>
      <c r="G488" s="2" t="str">
        <f t="shared" si="15"/>
        <v/>
      </c>
      <c r="H488" s="2"/>
    </row>
    <row r="489" spans="1:8">
      <c r="A489" s="3" t="str">
        <f t="shared" si="14"/>
        <v/>
      </c>
      <c r="B489" s="14"/>
      <c r="C489" s="15"/>
      <c r="D489" s="15"/>
      <c r="E489" s="15"/>
      <c r="F489" s="1"/>
      <c r="G489" s="1" t="str">
        <f t="shared" si="15"/>
        <v/>
      </c>
      <c r="H489" s="1"/>
    </row>
    <row r="490" spans="1:8">
      <c r="A490" s="4" t="str">
        <f t="shared" si="14"/>
        <v/>
      </c>
      <c r="B490" s="12"/>
      <c r="C490" s="13"/>
      <c r="D490" s="13"/>
      <c r="E490" s="13"/>
      <c r="F490" s="2"/>
      <c r="G490" s="2" t="str">
        <f t="shared" si="15"/>
        <v/>
      </c>
      <c r="H490" s="2"/>
    </row>
    <row r="491" spans="1:8">
      <c r="A491" s="3" t="str">
        <f t="shared" si="14"/>
        <v/>
      </c>
      <c r="B491" s="14"/>
      <c r="C491" s="15"/>
      <c r="D491" s="15"/>
      <c r="E491" s="15"/>
      <c r="F491" s="1"/>
      <c r="G491" s="1" t="str">
        <f t="shared" si="15"/>
        <v/>
      </c>
      <c r="H491" s="1"/>
    </row>
    <row r="492" spans="1:8">
      <c r="A492" s="4" t="str">
        <f t="shared" si="14"/>
        <v/>
      </c>
      <c r="B492" s="12"/>
      <c r="C492" s="13"/>
      <c r="D492" s="13"/>
      <c r="E492" s="13"/>
      <c r="F492" s="2"/>
      <c r="G492" s="2" t="str">
        <f t="shared" si="15"/>
        <v/>
      </c>
      <c r="H492" s="2"/>
    </row>
    <row r="493" spans="1:8">
      <c r="A493" s="3" t="str">
        <f t="shared" si="14"/>
        <v/>
      </c>
      <c r="B493" s="14"/>
      <c r="C493" s="15"/>
      <c r="D493" s="15"/>
      <c r="E493" s="15"/>
      <c r="F493" s="1"/>
      <c r="G493" s="1" t="str">
        <f t="shared" si="15"/>
        <v/>
      </c>
      <c r="H493" s="1"/>
    </row>
    <row r="494" spans="1:8">
      <c r="A494" s="4" t="str">
        <f t="shared" si="14"/>
        <v/>
      </c>
      <c r="B494" s="12"/>
      <c r="C494" s="13"/>
      <c r="D494" s="13"/>
      <c r="E494" s="13"/>
      <c r="F494" s="2"/>
      <c r="G494" s="2" t="str">
        <f t="shared" si="15"/>
        <v/>
      </c>
      <c r="H494" s="2"/>
    </row>
    <row r="495" spans="1:8">
      <c r="A495" s="3" t="str">
        <f t="shared" si="14"/>
        <v/>
      </c>
      <c r="B495" s="14"/>
      <c r="C495" s="15"/>
      <c r="D495" s="15"/>
      <c r="E495" s="15"/>
      <c r="F495" s="1"/>
      <c r="G495" s="1" t="str">
        <f t="shared" si="15"/>
        <v/>
      </c>
      <c r="H495" s="1"/>
    </row>
    <row r="496" spans="1:8">
      <c r="A496" s="4" t="str">
        <f t="shared" si="14"/>
        <v/>
      </c>
      <c r="B496" s="12"/>
      <c r="C496" s="13"/>
      <c r="D496" s="13"/>
      <c r="E496" s="13"/>
      <c r="F496" s="2"/>
      <c r="G496" s="2" t="str">
        <f t="shared" si="15"/>
        <v/>
      </c>
      <c r="H496" s="2"/>
    </row>
    <row r="497" spans="1:8">
      <c r="A497" s="3" t="str">
        <f t="shared" si="14"/>
        <v/>
      </c>
      <c r="B497" s="14"/>
      <c r="C497" s="15"/>
      <c r="D497" s="15"/>
      <c r="E497" s="15"/>
      <c r="F497" s="1"/>
      <c r="G497" s="1" t="str">
        <f t="shared" si="15"/>
        <v/>
      </c>
      <c r="H497" s="1"/>
    </row>
    <row r="498" spans="1:8">
      <c r="A498" s="4" t="str">
        <f t="shared" si="14"/>
        <v/>
      </c>
      <c r="B498" s="12"/>
      <c r="C498" s="13"/>
      <c r="D498" s="13"/>
      <c r="E498" s="13"/>
      <c r="F498" s="2"/>
      <c r="G498" s="2" t="str">
        <f t="shared" si="15"/>
        <v/>
      </c>
      <c r="H498" s="2"/>
    </row>
    <row r="499" spans="1:8">
      <c r="A499" s="3" t="str">
        <f t="shared" si="14"/>
        <v/>
      </c>
      <c r="B499" s="14"/>
      <c r="C499" s="15"/>
      <c r="D499" s="15"/>
      <c r="E499" s="15"/>
      <c r="F499" s="1"/>
      <c r="G499" s="1" t="str">
        <f t="shared" si="15"/>
        <v/>
      </c>
      <c r="H499" s="1"/>
    </row>
    <row r="500" spans="1:8">
      <c r="A500" s="4" t="str">
        <f t="shared" si="14"/>
        <v/>
      </c>
      <c r="B500" s="12"/>
      <c r="C500" s="13"/>
      <c r="D500" s="13"/>
      <c r="E500" s="13"/>
      <c r="F500" s="2"/>
      <c r="G500" s="2" t="str">
        <f t="shared" si="15"/>
        <v/>
      </c>
      <c r="H500" s="2"/>
    </row>
    <row r="501" spans="1:8">
      <c r="A501" s="3" t="str">
        <f t="shared" si="14"/>
        <v/>
      </c>
      <c r="B501" s="14"/>
      <c r="C501" s="15"/>
      <c r="D501" s="15"/>
      <c r="E501" s="15"/>
      <c r="F501" s="1"/>
      <c r="G501" s="1" t="str">
        <f t="shared" si="15"/>
        <v/>
      </c>
      <c r="H501" s="1"/>
    </row>
    <row r="502" spans="1:8">
      <c r="A502" s="4" t="str">
        <f t="shared" si="14"/>
        <v/>
      </c>
      <c r="B502" s="12"/>
      <c r="C502" s="13"/>
      <c r="D502" s="13"/>
      <c r="E502" s="13"/>
      <c r="F502" s="2"/>
      <c r="G502" s="2" t="str">
        <f t="shared" si="15"/>
        <v/>
      </c>
      <c r="H502" s="2"/>
    </row>
  </sheetData>
  <autoFilter ref="A4:I502" xr:uid="{00000000-0009-0000-0000-000003000000}"/>
  <mergeCells count="2">
    <mergeCell ref="A2:H2"/>
    <mergeCell ref="A1:H1"/>
  </mergeCells>
  <conditionalFormatting sqref="G5:G502">
    <cfRule type="cellIs" dxfId="6" priority="1" operator="equal">
      <formula>"PAID"</formula>
    </cfRule>
    <cfRule type="cellIs" dxfId="5" priority="2" operator="equal">
      <formula>"UNPAID"</formula>
    </cfRule>
  </conditionalFormatting>
  <dataValidations count="2">
    <dataValidation type="list" allowBlank="1" sqref="G5:G502" xr:uid="{00000000-0002-0000-0300-000000000000}">
      <formula1>"PAID,UNPAID"</formula1>
    </dataValidation>
    <dataValidation type="list" allowBlank="1" showInputMessage="1" showErrorMessage="1" errorTitle="Invalid member" error="Please select a member from the Members sheet." promptTitle="Select member" prompt="Choose a member from the dropdown list." sqref="F5:F502" xr:uid="{00000000-0002-0000-0300-000001000000}">
      <formula1>MemberNames</formula1>
    </dataValidation>
  </dataValidations>
  <pageMargins left="0.75" right="0.75" top="1" bottom="1" header="0.5" footer="0.5"/>
  <pageSetup fitToHeight="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997"/>
  <sheetViews>
    <sheetView showGridLines="0" workbookViewId="0">
      <pane ySplit="4" topLeftCell="A5" activePane="bottomLeft" state="frozen"/>
      <selection pane="bottomLeft" activeCell="G18" sqref="A1:XFD1048576"/>
    </sheetView>
  </sheetViews>
  <sheetFormatPr defaultRowHeight="15"/>
  <cols>
    <col min="1" max="1" width="23" customWidth="1"/>
    <col min="2" max="2" width="20" customWidth="1"/>
    <col min="3" max="3" width="38" customWidth="1"/>
    <col min="4" max="4" width="30" customWidth="1"/>
    <col min="5" max="5" width="28" customWidth="1"/>
    <col min="6" max="6" width="27" customWidth="1"/>
    <col min="7" max="7" width="25" customWidth="1"/>
    <col min="8" max="8" width="30" customWidth="1"/>
  </cols>
  <sheetData>
    <row r="1" spans="1:8" ht="30" customHeight="1">
      <c r="A1" s="18" t="s">
        <v>65</v>
      </c>
      <c r="B1" s="17"/>
      <c r="C1" s="17"/>
      <c r="D1" s="17"/>
      <c r="E1" s="17"/>
      <c r="F1" s="17"/>
      <c r="G1" s="17"/>
      <c r="H1" s="17"/>
    </row>
    <row r="2" spans="1:8" ht="33.950000000000003" customHeight="1">
      <c r="A2" s="16" t="s">
        <v>66</v>
      </c>
      <c r="B2" s="17"/>
      <c r="C2" s="17"/>
      <c r="D2" s="17"/>
      <c r="E2" s="17"/>
      <c r="F2" s="17"/>
      <c r="G2" s="17"/>
      <c r="H2" s="17"/>
    </row>
    <row r="4" spans="1:8" ht="33.950000000000003" customHeight="1">
      <c r="A4" s="5" t="s">
        <v>54</v>
      </c>
      <c r="B4" s="5" t="s">
        <v>55</v>
      </c>
      <c r="C4" s="5" t="s">
        <v>12</v>
      </c>
      <c r="D4" s="5" t="s">
        <v>67</v>
      </c>
      <c r="E4" s="5" t="s">
        <v>68</v>
      </c>
      <c r="F4" s="5" t="s">
        <v>64</v>
      </c>
      <c r="G4" s="5" t="s">
        <v>69</v>
      </c>
      <c r="H4" s="5" t="s">
        <v>57</v>
      </c>
    </row>
    <row r="5" spans="1:8">
      <c r="A5" s="2"/>
      <c r="B5" s="12"/>
      <c r="C5" s="2"/>
      <c r="D5" s="13"/>
      <c r="E5" s="8" t="str">
        <f>IF(C5="","",MAX(0,SUMIFS('CHIT REGISTER (ಮಾಸಿಕ ಚಿಟ್ ನೋಂದಣ'!$D$5:$D$502,'CHIT REGISTER (ಮಾಸಿಕ ಚಿಟ್ ನೋಂದಣ'!$F$5:$F$502,C5,'CHIT REGISTER (ಮಾಸಿಕ ಚಿಟ್ ನೋಂದಣ'!$G$5:$G$502,"UNPAID")-IF(F5="PAID",N(D5),0)))</f>
        <v/>
      </c>
      <c r="F5" s="4"/>
      <c r="G5" s="12"/>
      <c r="H5" s="2"/>
    </row>
    <row r="6" spans="1:8">
      <c r="A6" s="1"/>
      <c r="B6" s="14"/>
      <c r="C6" s="1"/>
      <c r="D6" s="15"/>
      <c r="E6" s="9" t="str">
        <f>IF(C6="","",MAX(0,SUMIFS('CHIT REGISTER (ಮಾಸಿಕ ಚಿಟ್ ನೋಂದಣ'!$D$5:$D$502,'CHIT REGISTER (ಮಾಸಿಕ ಚಿಟ್ ನೋಂದಣ'!$F$5:$F$502,C6,'CHIT REGISTER (ಮಾಸಿಕ ಚಿಟ್ ನೋಂದಣ'!$G$5:$G$502,"UNPAID")-IF(F6="PAID",N(D6),0)))</f>
        <v/>
      </c>
      <c r="F6" s="3"/>
      <c r="G6" s="14"/>
      <c r="H6" s="1"/>
    </row>
    <row r="7" spans="1:8">
      <c r="A7" s="2"/>
      <c r="B7" s="12"/>
      <c r="C7" s="2"/>
      <c r="D7" s="13"/>
      <c r="E7" s="8" t="str">
        <f>IF(C7="","",MAX(0,SUMIFS('CHIT REGISTER (ಮಾಸಿಕ ಚಿಟ್ ನೋಂದಣ'!$D$5:$D$502,'CHIT REGISTER (ಮಾಸಿಕ ಚಿಟ್ ನೋಂದಣ'!$F$5:$F$502,C7,'CHIT REGISTER (ಮಾಸಿಕ ಚಿಟ್ ನೋಂದಣ'!$G$5:$G$502,"UNPAID")-IF(F7="PAID",N(D7),0)))</f>
        <v/>
      </c>
      <c r="F7" s="4"/>
      <c r="G7" s="12"/>
      <c r="H7" s="2"/>
    </row>
    <row r="8" spans="1:8">
      <c r="A8" s="1"/>
      <c r="B8" s="14"/>
      <c r="C8" s="1"/>
      <c r="D8" s="15"/>
      <c r="E8" s="9" t="str">
        <f>IF(C8="","",MAX(0,SUMIFS('CHIT REGISTER (ಮಾಸಿಕ ಚಿಟ್ ನೋಂದಣ'!$D$5:$D$502,'CHIT REGISTER (ಮಾಸಿಕ ಚಿಟ್ ನೋಂದಣ'!$F$5:$F$502,C8,'CHIT REGISTER (ಮಾಸಿಕ ಚಿಟ್ ನೋಂದಣ'!$G$5:$G$502,"UNPAID")-IF(F8="PAID",N(D8),0)))</f>
        <v/>
      </c>
      <c r="F8" s="3"/>
      <c r="G8" s="14"/>
      <c r="H8" s="1"/>
    </row>
    <row r="9" spans="1:8">
      <c r="A9" s="2"/>
      <c r="B9" s="12"/>
      <c r="C9" s="2"/>
      <c r="D9" s="13"/>
      <c r="E9" s="8" t="str">
        <f>IF(C9="","",MAX(0,SUMIFS('CHIT REGISTER (ಮಾಸಿಕ ಚಿಟ್ ನೋಂದಣ'!$D$5:$D$502,'CHIT REGISTER (ಮಾಸಿಕ ಚಿಟ್ ನೋಂದಣ'!$F$5:$F$502,C9,'CHIT REGISTER (ಮಾಸಿಕ ಚಿಟ್ ನೋಂದಣ'!$G$5:$G$502,"UNPAID")-IF(F9="PAID",N(D9),0)))</f>
        <v/>
      </c>
      <c r="F9" s="4"/>
      <c r="G9" s="12"/>
      <c r="H9" s="2"/>
    </row>
    <row r="10" spans="1:8">
      <c r="A10" s="1"/>
      <c r="B10" s="14"/>
      <c r="C10" s="1"/>
      <c r="D10" s="15"/>
      <c r="E10" s="9" t="str">
        <f>IF(C10="","",MAX(0,SUMIFS('CHIT REGISTER (ಮಾಸಿಕ ಚಿಟ್ ನೋಂದಣ'!$D$5:$D$502,'CHIT REGISTER (ಮಾಸಿಕ ಚಿಟ್ ನೋಂದಣ'!$F$5:$F$502,C10,'CHIT REGISTER (ಮಾಸಿಕ ಚಿಟ್ ನೋಂದಣ'!$G$5:$G$502,"UNPAID")-IF(F10="PAID",N(D10),0)))</f>
        <v/>
      </c>
      <c r="F10" s="3"/>
      <c r="G10" s="14"/>
      <c r="H10" s="1"/>
    </row>
    <row r="11" spans="1:8">
      <c r="A11" s="2"/>
      <c r="B11" s="12"/>
      <c r="C11" s="2"/>
      <c r="D11" s="13"/>
      <c r="E11" s="8" t="str">
        <f>IF(C11="","",MAX(0,SUMIFS('CHIT REGISTER (ಮಾಸಿಕ ಚಿಟ್ ನೋಂದಣ'!$D$5:$D$502,'CHIT REGISTER (ಮಾಸಿಕ ಚಿಟ್ ನೋಂದಣ'!$F$5:$F$502,C11,'CHIT REGISTER (ಮಾಸಿಕ ಚಿಟ್ ನೋಂದಣ'!$G$5:$G$502,"UNPAID")-IF(F11="PAID",N(D11),0)))</f>
        <v/>
      </c>
      <c r="F11" s="4"/>
      <c r="G11" s="12"/>
      <c r="H11" s="2"/>
    </row>
    <row r="12" spans="1:8">
      <c r="A12" s="1"/>
      <c r="B12" s="14"/>
      <c r="C12" s="1"/>
      <c r="D12" s="15"/>
      <c r="E12" s="9" t="str">
        <f>IF(C12="","",MAX(0,SUMIFS('CHIT REGISTER (ಮಾಸಿಕ ಚಿಟ್ ನೋಂದಣ'!$D$5:$D$502,'CHIT REGISTER (ಮಾಸಿಕ ಚಿಟ್ ನೋಂದಣ'!$F$5:$F$502,C12,'CHIT REGISTER (ಮಾಸಿಕ ಚಿಟ್ ನೋಂದಣ'!$G$5:$G$502,"UNPAID")-IF(F12="PAID",N(D12),0)))</f>
        <v/>
      </c>
      <c r="F12" s="3"/>
      <c r="G12" s="14"/>
      <c r="H12" s="1"/>
    </row>
    <row r="13" spans="1:8">
      <c r="A13" s="2"/>
      <c r="B13" s="12"/>
      <c r="C13" s="2"/>
      <c r="D13" s="13"/>
      <c r="E13" s="8" t="str">
        <f>IF(C13="","",MAX(0,SUMIFS('CHIT REGISTER (ಮಾಸಿಕ ಚಿಟ್ ನೋಂದಣ'!$D$5:$D$502,'CHIT REGISTER (ಮಾಸಿಕ ಚಿಟ್ ನೋಂದಣ'!$F$5:$F$502,C13,'CHIT REGISTER (ಮಾಸಿಕ ಚಿಟ್ ನೋಂದಣ'!$G$5:$G$502,"UNPAID")-IF(F13="PAID",N(D13),0)))</f>
        <v/>
      </c>
      <c r="F13" s="4"/>
      <c r="G13" s="12"/>
      <c r="H13" s="2"/>
    </row>
    <row r="14" spans="1:8">
      <c r="A14" s="1"/>
      <c r="B14" s="14"/>
      <c r="C14" s="1"/>
      <c r="D14" s="15"/>
      <c r="E14" s="9" t="str">
        <f>IF(C14="","",MAX(0,SUMIFS('CHIT REGISTER (ಮಾಸಿಕ ಚಿಟ್ ನೋಂದಣ'!$D$5:$D$502,'CHIT REGISTER (ಮಾಸಿಕ ಚಿಟ್ ನೋಂದಣ'!$F$5:$F$502,C14,'CHIT REGISTER (ಮಾಸಿಕ ಚಿಟ್ ನೋಂದಣ'!$G$5:$G$502,"UNPAID")-IF(F14="PAID",N(D14),0)))</f>
        <v/>
      </c>
      <c r="F14" s="3"/>
      <c r="G14" s="14"/>
      <c r="H14" s="1"/>
    </row>
    <row r="15" spans="1:8">
      <c r="A15" s="2"/>
      <c r="B15" s="12"/>
      <c r="C15" s="2"/>
      <c r="D15" s="13"/>
      <c r="E15" s="8" t="str">
        <f>IF(C15="","",MAX(0,SUMIFS('CHIT REGISTER (ಮಾಸಿಕ ಚಿಟ್ ನೋಂದಣ'!$D$5:$D$502,'CHIT REGISTER (ಮಾಸಿಕ ಚಿಟ್ ನೋಂದಣ'!$F$5:$F$502,C15,'CHIT REGISTER (ಮಾಸಿಕ ಚಿಟ್ ನೋಂದಣ'!$G$5:$G$502,"UNPAID")-IF(F15="PAID",N(D15),0)))</f>
        <v/>
      </c>
      <c r="F15" s="4"/>
      <c r="G15" s="12"/>
      <c r="H15" s="2"/>
    </row>
    <row r="16" spans="1:8">
      <c r="A16" s="1"/>
      <c r="B16" s="14"/>
      <c r="C16" s="1"/>
      <c r="D16" s="15"/>
      <c r="E16" s="9" t="str">
        <f>IF(C16="","",MAX(0,SUMIFS('CHIT REGISTER (ಮಾಸಿಕ ಚಿಟ್ ನೋಂದಣ'!$D$5:$D$502,'CHIT REGISTER (ಮಾಸಿಕ ಚಿಟ್ ನೋಂದಣ'!$F$5:$F$502,C16,'CHIT REGISTER (ಮಾಸಿಕ ಚಿಟ್ ನೋಂದಣ'!$G$5:$G$502,"UNPAID")-IF(F16="PAID",N(D16),0)))</f>
        <v/>
      </c>
      <c r="F16" s="3"/>
      <c r="G16" s="14"/>
      <c r="H16" s="1"/>
    </row>
    <row r="17" spans="1:8">
      <c r="A17" s="2"/>
      <c r="B17" s="12"/>
      <c r="C17" s="2"/>
      <c r="D17" s="13"/>
      <c r="E17" s="8" t="str">
        <f>IF(C17="","",MAX(0,SUMIFS('CHIT REGISTER (ಮಾಸಿಕ ಚಿಟ್ ನೋಂದಣ'!$D$5:$D$502,'CHIT REGISTER (ಮಾಸಿಕ ಚಿಟ್ ನೋಂದಣ'!$F$5:$F$502,C17,'CHIT REGISTER (ಮಾಸಿಕ ಚಿಟ್ ನೋಂದಣ'!$G$5:$G$502,"UNPAID")-IF(F17="PAID",N(D17),0)))</f>
        <v/>
      </c>
      <c r="F17" s="4"/>
      <c r="G17" s="12"/>
      <c r="H17" s="2"/>
    </row>
    <row r="18" spans="1:8">
      <c r="A18" s="1"/>
      <c r="B18" s="14"/>
      <c r="C18" s="1"/>
      <c r="D18" s="15"/>
      <c r="E18" s="9" t="str">
        <f>IF(C18="","",MAX(0,SUMIFS('CHIT REGISTER (ಮಾಸಿಕ ಚಿಟ್ ನೋಂದಣ'!$D$5:$D$502,'CHIT REGISTER (ಮಾಸಿಕ ಚಿಟ್ ನೋಂದಣ'!$F$5:$F$502,C18,'CHIT REGISTER (ಮಾಸಿಕ ಚಿಟ್ ನೋಂದಣ'!$G$5:$G$502,"UNPAID")-IF(F18="PAID",N(D18),0)))</f>
        <v/>
      </c>
      <c r="F18" s="3"/>
      <c r="G18" s="14"/>
      <c r="H18" s="1"/>
    </row>
    <row r="19" spans="1:8">
      <c r="A19" s="2"/>
      <c r="B19" s="12"/>
      <c r="C19" s="2"/>
      <c r="D19" s="13"/>
      <c r="E19" s="8" t="str">
        <f>IF(C19="","",MAX(0,SUMIFS('CHIT REGISTER (ಮಾಸಿಕ ಚಿಟ್ ನೋಂದಣ'!$D$5:$D$502,'CHIT REGISTER (ಮಾಸಿಕ ಚಿಟ್ ನೋಂದಣ'!$F$5:$F$502,C19,'CHIT REGISTER (ಮಾಸಿಕ ಚಿಟ್ ನೋಂದಣ'!$G$5:$G$502,"UNPAID")-IF(F19="PAID",N(D19),0)))</f>
        <v/>
      </c>
      <c r="F19" s="4"/>
      <c r="G19" s="12"/>
      <c r="H19" s="2"/>
    </row>
    <row r="20" spans="1:8">
      <c r="A20" s="1"/>
      <c r="B20" s="14"/>
      <c r="C20" s="1"/>
      <c r="D20" s="15"/>
      <c r="E20" s="9" t="str">
        <f>IF(C20="","",MAX(0,SUMIFS('CHIT REGISTER (ಮಾಸಿಕ ಚಿಟ್ ನೋಂದಣ'!$D$5:$D$502,'CHIT REGISTER (ಮಾಸಿಕ ಚಿಟ್ ನೋಂದಣ'!$F$5:$F$502,C20,'CHIT REGISTER (ಮಾಸಿಕ ಚಿಟ್ ನೋಂದಣ'!$G$5:$G$502,"UNPAID")-IF(F20="PAID",N(D20),0)))</f>
        <v/>
      </c>
      <c r="F20" s="3"/>
      <c r="G20" s="14"/>
      <c r="H20" s="1"/>
    </row>
    <row r="21" spans="1:8">
      <c r="A21" s="2"/>
      <c r="B21" s="12"/>
      <c r="C21" s="2"/>
      <c r="D21" s="13"/>
      <c r="E21" s="8" t="str">
        <f>IF(C21="","",MAX(0,SUMIFS('CHIT REGISTER (ಮಾಸಿಕ ಚಿಟ್ ನೋಂದಣ'!$D$5:$D$502,'CHIT REGISTER (ಮಾಸಿಕ ಚಿಟ್ ನೋಂದಣ'!$F$5:$F$502,C21,'CHIT REGISTER (ಮಾಸಿಕ ಚಿಟ್ ನೋಂದಣ'!$G$5:$G$502,"UNPAID")-IF(F21="PAID",N(D21),0)))</f>
        <v/>
      </c>
      <c r="F21" s="4"/>
      <c r="G21" s="12"/>
      <c r="H21" s="2"/>
    </row>
    <row r="22" spans="1:8">
      <c r="A22" s="1"/>
      <c r="B22" s="14"/>
      <c r="C22" s="1"/>
      <c r="D22" s="15"/>
      <c r="E22" s="9" t="str">
        <f>IF(C22="","",MAX(0,SUMIFS('CHIT REGISTER (ಮಾಸಿಕ ಚಿಟ್ ನೋಂದಣ'!$D$5:$D$502,'CHIT REGISTER (ಮಾಸಿಕ ಚಿಟ್ ನೋಂದಣ'!$F$5:$F$502,C22,'CHIT REGISTER (ಮಾಸಿಕ ಚಿಟ್ ನೋಂದಣ'!$G$5:$G$502,"UNPAID")-IF(F22="PAID",N(D22),0)))</f>
        <v/>
      </c>
      <c r="F22" s="3"/>
      <c r="G22" s="14"/>
      <c r="H22" s="1"/>
    </row>
    <row r="23" spans="1:8">
      <c r="A23" s="2"/>
      <c r="B23" s="12"/>
      <c r="C23" s="2"/>
      <c r="D23" s="13"/>
      <c r="E23" s="8" t="str">
        <f>IF(C23="","",MAX(0,SUMIFS('CHIT REGISTER (ಮಾಸಿಕ ಚಿಟ್ ನೋಂದಣ'!$D$5:$D$502,'CHIT REGISTER (ಮಾಸಿಕ ಚಿಟ್ ನೋಂದಣ'!$F$5:$F$502,C23,'CHIT REGISTER (ಮಾಸಿಕ ಚಿಟ್ ನೋಂದಣ'!$G$5:$G$502,"UNPAID")-IF(F23="PAID",N(D23),0)))</f>
        <v/>
      </c>
      <c r="F23" s="4"/>
      <c r="G23" s="12"/>
      <c r="H23" s="2"/>
    </row>
    <row r="24" spans="1:8">
      <c r="A24" s="1"/>
      <c r="B24" s="14"/>
      <c r="C24" s="1"/>
      <c r="D24" s="15"/>
      <c r="E24" s="9" t="str">
        <f>IF(C24="","",MAX(0,SUMIFS('CHIT REGISTER (ಮಾಸಿಕ ಚಿಟ್ ನೋಂದಣ'!$D$5:$D$502,'CHIT REGISTER (ಮಾಸಿಕ ಚಿಟ್ ನೋಂದಣ'!$F$5:$F$502,C24,'CHIT REGISTER (ಮಾಸಿಕ ಚಿಟ್ ನೋಂದಣ'!$G$5:$G$502,"UNPAID")-IF(F24="PAID",N(D24),0)))</f>
        <v/>
      </c>
      <c r="F24" s="3"/>
      <c r="G24" s="14"/>
      <c r="H24" s="1"/>
    </row>
    <row r="25" spans="1:8">
      <c r="A25" s="2"/>
      <c r="B25" s="12"/>
      <c r="C25" s="2"/>
      <c r="D25" s="13"/>
      <c r="E25" s="8" t="str">
        <f>IF(C25="","",MAX(0,SUMIFS('CHIT REGISTER (ಮಾಸಿಕ ಚಿಟ್ ನೋಂದಣ'!$D$5:$D$502,'CHIT REGISTER (ಮಾಸಿಕ ಚಿಟ್ ನೋಂದಣ'!$F$5:$F$502,C25,'CHIT REGISTER (ಮಾಸಿಕ ಚಿಟ್ ನೋಂದಣ'!$G$5:$G$502,"UNPAID")-IF(F25="PAID",N(D25),0)))</f>
        <v/>
      </c>
      <c r="F25" s="4"/>
      <c r="G25" s="12"/>
      <c r="H25" s="2"/>
    </row>
    <row r="26" spans="1:8">
      <c r="A26" s="1"/>
      <c r="B26" s="14"/>
      <c r="C26" s="1"/>
      <c r="D26" s="15"/>
      <c r="E26" s="9" t="str">
        <f>IF(C26="","",MAX(0,SUMIFS('CHIT REGISTER (ಮಾಸಿಕ ಚಿಟ್ ನೋಂದಣ'!$D$5:$D$502,'CHIT REGISTER (ಮಾಸಿಕ ಚಿಟ್ ನೋಂದಣ'!$F$5:$F$502,C26,'CHIT REGISTER (ಮಾಸಿಕ ಚಿಟ್ ನೋಂದಣ'!$G$5:$G$502,"UNPAID")-IF(F26="PAID",N(D26),0)))</f>
        <v/>
      </c>
      <c r="F26" s="3"/>
      <c r="G26" s="14"/>
      <c r="H26" s="1"/>
    </row>
    <row r="27" spans="1:8">
      <c r="A27" s="2"/>
      <c r="B27" s="12"/>
      <c r="C27" s="2"/>
      <c r="D27" s="13"/>
      <c r="E27" s="8" t="str">
        <f>IF(C27="","",MAX(0,SUMIFS('CHIT REGISTER (ಮಾಸಿಕ ಚಿಟ್ ನೋಂದಣ'!$D$5:$D$502,'CHIT REGISTER (ಮಾಸಿಕ ಚಿಟ್ ನೋಂದಣ'!$F$5:$F$502,C27,'CHIT REGISTER (ಮಾಸಿಕ ಚಿಟ್ ನೋಂದಣ'!$G$5:$G$502,"UNPAID")-IF(F27="PAID",N(D27),0)))</f>
        <v/>
      </c>
      <c r="F27" s="4"/>
      <c r="G27" s="12"/>
      <c r="H27" s="2"/>
    </row>
    <row r="28" spans="1:8">
      <c r="A28" s="1"/>
      <c r="B28" s="14"/>
      <c r="C28" s="1"/>
      <c r="D28" s="15"/>
      <c r="E28" s="9" t="str">
        <f>IF(C28="","",MAX(0,SUMIFS('CHIT REGISTER (ಮಾಸಿಕ ಚಿಟ್ ನೋಂದಣ'!$D$5:$D$502,'CHIT REGISTER (ಮಾಸಿಕ ಚಿಟ್ ನೋಂದಣ'!$F$5:$F$502,C28,'CHIT REGISTER (ಮಾಸಿಕ ಚಿಟ್ ನೋಂದಣ'!$G$5:$G$502,"UNPAID")-IF(F28="PAID",N(D28),0)))</f>
        <v/>
      </c>
      <c r="F28" s="3"/>
      <c r="G28" s="14"/>
      <c r="H28" s="1"/>
    </row>
    <row r="29" spans="1:8">
      <c r="A29" s="2"/>
      <c r="B29" s="12"/>
      <c r="C29" s="2"/>
      <c r="D29" s="13"/>
      <c r="E29" s="8" t="str">
        <f>IF(C29="","",MAX(0,SUMIFS('CHIT REGISTER (ಮಾಸಿಕ ಚಿಟ್ ನೋಂದಣ'!$D$5:$D$502,'CHIT REGISTER (ಮಾಸಿಕ ಚಿಟ್ ನೋಂದಣ'!$F$5:$F$502,C29,'CHIT REGISTER (ಮಾಸಿಕ ಚಿಟ್ ನೋಂದಣ'!$G$5:$G$502,"UNPAID")-IF(F29="PAID",N(D29),0)))</f>
        <v/>
      </c>
      <c r="F29" s="4"/>
      <c r="G29" s="12"/>
      <c r="H29" s="2"/>
    </row>
    <row r="30" spans="1:8">
      <c r="A30" s="1"/>
      <c r="B30" s="14"/>
      <c r="C30" s="1"/>
      <c r="D30" s="15"/>
      <c r="E30" s="9" t="str">
        <f>IF(C30="","",MAX(0,SUMIFS('CHIT REGISTER (ಮಾಸಿಕ ಚಿಟ್ ನೋಂದಣ'!$D$5:$D$502,'CHIT REGISTER (ಮಾಸಿಕ ಚಿಟ್ ನೋಂದಣ'!$F$5:$F$502,C30,'CHIT REGISTER (ಮಾಸಿಕ ಚಿಟ್ ನೋಂದಣ'!$G$5:$G$502,"UNPAID")-IF(F30="PAID",N(D30),0)))</f>
        <v/>
      </c>
      <c r="F30" s="3"/>
      <c r="G30" s="14"/>
      <c r="H30" s="1"/>
    </row>
    <row r="31" spans="1:8">
      <c r="A31" s="2"/>
      <c r="B31" s="12"/>
      <c r="C31" s="2"/>
      <c r="D31" s="13"/>
      <c r="E31" s="8" t="str">
        <f>IF(C31="","",MAX(0,SUMIFS('CHIT REGISTER (ಮಾಸಿಕ ಚಿಟ್ ನೋಂದಣ'!$D$5:$D$502,'CHIT REGISTER (ಮಾಸಿಕ ಚಿಟ್ ನೋಂದಣ'!$F$5:$F$502,C31,'CHIT REGISTER (ಮಾಸಿಕ ಚಿಟ್ ನೋಂದಣ'!$G$5:$G$502,"UNPAID")-IF(F31="PAID",N(D31),0)))</f>
        <v/>
      </c>
      <c r="F31" s="4"/>
      <c r="G31" s="12"/>
      <c r="H31" s="2"/>
    </row>
    <row r="32" spans="1:8">
      <c r="A32" s="1"/>
      <c r="B32" s="14"/>
      <c r="C32" s="1"/>
      <c r="D32" s="15"/>
      <c r="E32" s="9" t="str">
        <f>IF(C32="","",MAX(0,SUMIFS('CHIT REGISTER (ಮಾಸಿಕ ಚಿಟ್ ನೋಂದಣ'!$D$5:$D$502,'CHIT REGISTER (ಮಾಸಿಕ ಚಿಟ್ ನೋಂದಣ'!$F$5:$F$502,C32,'CHIT REGISTER (ಮಾಸಿಕ ಚಿಟ್ ನೋಂದಣ'!$G$5:$G$502,"UNPAID")-IF(F32="PAID",N(D32),0)))</f>
        <v/>
      </c>
      <c r="F32" s="3"/>
      <c r="G32" s="14"/>
      <c r="H32" s="1"/>
    </row>
    <row r="33" spans="1:8">
      <c r="A33" s="2"/>
      <c r="B33" s="12"/>
      <c r="C33" s="2"/>
      <c r="D33" s="13"/>
      <c r="E33" s="8" t="str">
        <f>IF(C33="","",MAX(0,SUMIFS('CHIT REGISTER (ಮಾಸಿಕ ಚಿಟ್ ನೋಂದಣ'!$D$5:$D$502,'CHIT REGISTER (ಮಾಸಿಕ ಚಿಟ್ ನೋಂದಣ'!$F$5:$F$502,C33,'CHIT REGISTER (ಮಾಸಿಕ ಚಿಟ್ ನೋಂದಣ'!$G$5:$G$502,"UNPAID")-IF(F33="PAID",N(D33),0)))</f>
        <v/>
      </c>
      <c r="F33" s="4"/>
      <c r="G33" s="12"/>
      <c r="H33" s="2"/>
    </row>
    <row r="34" spans="1:8">
      <c r="A34" s="1"/>
      <c r="B34" s="14"/>
      <c r="C34" s="1"/>
      <c r="D34" s="15"/>
      <c r="E34" s="9" t="str">
        <f>IF(C34="","",MAX(0,SUMIFS('CHIT REGISTER (ಮಾಸಿಕ ಚಿಟ್ ನೋಂದಣ'!$D$5:$D$502,'CHIT REGISTER (ಮಾಸಿಕ ಚಿಟ್ ನೋಂದಣ'!$F$5:$F$502,C34,'CHIT REGISTER (ಮಾಸಿಕ ಚಿಟ್ ನೋಂದಣ'!$G$5:$G$502,"UNPAID")-IF(F34="PAID",N(D34),0)))</f>
        <v/>
      </c>
      <c r="F34" s="3"/>
      <c r="G34" s="14"/>
      <c r="H34" s="1"/>
    </row>
    <row r="35" spans="1:8">
      <c r="A35" s="2"/>
      <c r="B35" s="12"/>
      <c r="C35" s="2"/>
      <c r="D35" s="13"/>
      <c r="E35" s="8" t="str">
        <f>IF(C35="","",MAX(0,SUMIFS('CHIT REGISTER (ಮಾಸಿಕ ಚಿಟ್ ನೋಂದಣ'!$D$5:$D$502,'CHIT REGISTER (ಮಾಸಿಕ ಚಿಟ್ ನೋಂದಣ'!$F$5:$F$502,C35,'CHIT REGISTER (ಮಾಸಿಕ ಚಿಟ್ ನೋಂದಣ'!$G$5:$G$502,"UNPAID")-IF(F35="PAID",N(D35),0)))</f>
        <v/>
      </c>
      <c r="F35" s="4"/>
      <c r="G35" s="12"/>
      <c r="H35" s="2"/>
    </row>
    <row r="36" spans="1:8">
      <c r="A36" s="1"/>
      <c r="B36" s="14"/>
      <c r="C36" s="1"/>
      <c r="D36" s="15"/>
      <c r="E36" s="9" t="str">
        <f>IF(C36="","",MAX(0,SUMIFS('CHIT REGISTER (ಮಾಸಿಕ ಚಿಟ್ ನೋಂದಣ'!$D$5:$D$502,'CHIT REGISTER (ಮಾಸಿಕ ಚಿಟ್ ನೋಂದಣ'!$F$5:$F$502,C36,'CHIT REGISTER (ಮಾಸಿಕ ಚಿಟ್ ನೋಂದಣ'!$G$5:$G$502,"UNPAID")-IF(F36="PAID",N(D36),0)))</f>
        <v/>
      </c>
      <c r="F36" s="3"/>
      <c r="G36" s="14"/>
      <c r="H36" s="1"/>
    </row>
    <row r="37" spans="1:8">
      <c r="A37" s="2"/>
      <c r="B37" s="12"/>
      <c r="C37" s="2"/>
      <c r="D37" s="13"/>
      <c r="E37" s="8" t="str">
        <f>IF(C37="","",MAX(0,SUMIFS('CHIT REGISTER (ಮಾಸಿಕ ಚಿಟ್ ನೋಂದಣ'!$D$5:$D$502,'CHIT REGISTER (ಮಾಸಿಕ ಚಿಟ್ ನೋಂದಣ'!$F$5:$F$502,C37,'CHIT REGISTER (ಮಾಸಿಕ ಚಿಟ್ ನೋಂದಣ'!$G$5:$G$502,"UNPAID")-IF(F37="PAID",N(D37),0)))</f>
        <v/>
      </c>
      <c r="F37" s="4"/>
      <c r="G37" s="12"/>
      <c r="H37" s="2"/>
    </row>
    <row r="38" spans="1:8">
      <c r="A38" s="1"/>
      <c r="B38" s="14"/>
      <c r="C38" s="1"/>
      <c r="D38" s="15"/>
      <c r="E38" s="9" t="str">
        <f>IF(C38="","",MAX(0,SUMIFS('CHIT REGISTER (ಮಾಸಿಕ ಚಿಟ್ ನೋಂದಣ'!$D$5:$D$502,'CHIT REGISTER (ಮಾಸಿಕ ಚಿಟ್ ನೋಂದಣ'!$F$5:$F$502,C38,'CHIT REGISTER (ಮಾಸಿಕ ಚಿಟ್ ನೋಂದಣ'!$G$5:$G$502,"UNPAID")-IF(F38="PAID",N(D38),0)))</f>
        <v/>
      </c>
      <c r="F38" s="3"/>
      <c r="G38" s="14"/>
      <c r="H38" s="1"/>
    </row>
    <row r="39" spans="1:8">
      <c r="A39" s="2"/>
      <c r="B39" s="12"/>
      <c r="C39" s="2"/>
      <c r="D39" s="13"/>
      <c r="E39" s="8" t="str">
        <f>IF(C39="","",MAX(0,SUMIFS('CHIT REGISTER (ಮಾಸಿಕ ಚಿಟ್ ನೋಂದಣ'!$D$5:$D$502,'CHIT REGISTER (ಮಾಸಿಕ ಚಿಟ್ ನೋಂದಣ'!$F$5:$F$502,C39,'CHIT REGISTER (ಮಾಸಿಕ ಚಿಟ್ ನೋಂದಣ'!$G$5:$G$502,"UNPAID")-IF(F39="PAID",N(D39),0)))</f>
        <v/>
      </c>
      <c r="F39" s="4"/>
      <c r="G39" s="12"/>
      <c r="H39" s="2"/>
    </row>
    <row r="40" spans="1:8">
      <c r="A40" s="1"/>
      <c r="B40" s="14"/>
      <c r="C40" s="1"/>
      <c r="D40" s="15"/>
      <c r="E40" s="9" t="str">
        <f>IF(C40="","",MAX(0,SUMIFS('CHIT REGISTER (ಮಾಸಿಕ ಚಿಟ್ ನೋಂದಣ'!$D$5:$D$502,'CHIT REGISTER (ಮಾಸಿಕ ಚಿಟ್ ನೋಂದಣ'!$F$5:$F$502,C40,'CHIT REGISTER (ಮಾಸಿಕ ಚಿಟ್ ನೋಂದಣ'!$G$5:$G$502,"UNPAID")-IF(F40="PAID",N(D40),0)))</f>
        <v/>
      </c>
      <c r="F40" s="3"/>
      <c r="G40" s="14"/>
      <c r="H40" s="1"/>
    </row>
    <row r="41" spans="1:8">
      <c r="A41" s="2"/>
      <c r="B41" s="12"/>
      <c r="C41" s="2"/>
      <c r="D41" s="13"/>
      <c r="E41" s="8" t="str">
        <f>IF(C41="","",MAX(0,SUMIFS('CHIT REGISTER (ಮಾಸಿಕ ಚಿಟ್ ನೋಂದಣ'!$D$5:$D$502,'CHIT REGISTER (ಮಾಸಿಕ ಚಿಟ್ ನೋಂದಣ'!$F$5:$F$502,C41,'CHIT REGISTER (ಮಾಸಿಕ ಚಿಟ್ ನೋಂದಣ'!$G$5:$G$502,"UNPAID")-IF(F41="PAID",N(D41),0)))</f>
        <v/>
      </c>
      <c r="F41" s="4"/>
      <c r="G41" s="12"/>
      <c r="H41" s="2"/>
    </row>
    <row r="42" spans="1:8">
      <c r="A42" s="1"/>
      <c r="B42" s="14"/>
      <c r="C42" s="1"/>
      <c r="D42" s="15"/>
      <c r="E42" s="9" t="str">
        <f>IF(C42="","",MAX(0,SUMIFS('CHIT REGISTER (ಮಾಸಿಕ ಚಿಟ್ ನೋಂದಣ'!$D$5:$D$502,'CHIT REGISTER (ಮಾಸಿಕ ಚಿಟ್ ನೋಂದಣ'!$F$5:$F$502,C42,'CHIT REGISTER (ಮಾಸಿಕ ಚಿಟ್ ನೋಂದಣ'!$G$5:$G$502,"UNPAID")-IF(F42="PAID",N(D42),0)))</f>
        <v/>
      </c>
      <c r="F42" s="3"/>
      <c r="G42" s="14"/>
      <c r="H42" s="1"/>
    </row>
    <row r="43" spans="1:8">
      <c r="A43" s="2"/>
      <c r="B43" s="12"/>
      <c r="C43" s="2"/>
      <c r="D43" s="13"/>
      <c r="E43" s="8" t="str">
        <f>IF(C43="","",MAX(0,SUMIFS('CHIT REGISTER (ಮಾಸಿಕ ಚಿಟ್ ನೋಂದಣ'!$D$5:$D$502,'CHIT REGISTER (ಮಾಸಿಕ ಚಿಟ್ ನೋಂದಣ'!$F$5:$F$502,C43,'CHIT REGISTER (ಮಾಸಿಕ ಚಿಟ್ ನೋಂದಣ'!$G$5:$G$502,"UNPAID")-IF(F43="PAID",N(D43),0)))</f>
        <v/>
      </c>
      <c r="F43" s="4"/>
      <c r="G43" s="12"/>
      <c r="H43" s="2"/>
    </row>
    <row r="44" spans="1:8">
      <c r="A44" s="1"/>
      <c r="B44" s="14"/>
      <c r="C44" s="1"/>
      <c r="D44" s="15"/>
      <c r="E44" s="9" t="str">
        <f>IF(C44="","",MAX(0,SUMIFS('CHIT REGISTER (ಮಾಸಿಕ ಚಿಟ್ ನೋಂದಣ'!$D$5:$D$502,'CHIT REGISTER (ಮಾಸಿಕ ಚಿಟ್ ನೋಂದಣ'!$F$5:$F$502,C44,'CHIT REGISTER (ಮಾಸಿಕ ಚಿಟ್ ನೋಂದಣ'!$G$5:$G$502,"UNPAID")-IF(F44="PAID",N(D44),0)))</f>
        <v/>
      </c>
      <c r="F44" s="3"/>
      <c r="G44" s="14"/>
      <c r="H44" s="1"/>
    </row>
    <row r="45" spans="1:8">
      <c r="A45" s="2"/>
      <c r="B45" s="12"/>
      <c r="C45" s="2"/>
      <c r="D45" s="13"/>
      <c r="E45" s="8" t="str">
        <f>IF(C45="","",MAX(0,SUMIFS('CHIT REGISTER (ಮಾಸಿಕ ಚಿಟ್ ನೋಂದಣ'!$D$5:$D$502,'CHIT REGISTER (ಮಾಸಿಕ ಚಿಟ್ ನೋಂದಣ'!$F$5:$F$502,C45,'CHIT REGISTER (ಮಾಸಿಕ ಚಿಟ್ ನೋಂದಣ'!$G$5:$G$502,"UNPAID")-IF(F45="PAID",N(D45),0)))</f>
        <v/>
      </c>
      <c r="F45" s="4"/>
      <c r="G45" s="12"/>
      <c r="H45" s="2"/>
    </row>
    <row r="46" spans="1:8">
      <c r="A46" s="1"/>
      <c r="B46" s="14"/>
      <c r="C46" s="1"/>
      <c r="D46" s="15"/>
      <c r="E46" s="9" t="str">
        <f>IF(C46="","",MAX(0,SUMIFS('CHIT REGISTER (ಮಾಸಿಕ ಚಿಟ್ ನೋಂದಣ'!$D$5:$D$502,'CHIT REGISTER (ಮಾಸಿಕ ಚಿಟ್ ನೋಂದಣ'!$F$5:$F$502,C46,'CHIT REGISTER (ಮಾಸಿಕ ಚಿಟ್ ನೋಂದಣ'!$G$5:$G$502,"UNPAID")-IF(F46="PAID",N(D46),0)))</f>
        <v/>
      </c>
      <c r="F46" s="3"/>
      <c r="G46" s="14"/>
      <c r="H46" s="1"/>
    </row>
    <row r="47" spans="1:8">
      <c r="A47" s="2"/>
      <c r="B47" s="12"/>
      <c r="C47" s="2"/>
      <c r="D47" s="13"/>
      <c r="E47" s="8" t="str">
        <f>IF(C47="","",MAX(0,SUMIFS('CHIT REGISTER (ಮಾಸಿಕ ಚಿಟ್ ನೋಂದಣ'!$D$5:$D$502,'CHIT REGISTER (ಮಾಸಿಕ ಚಿಟ್ ನೋಂದಣ'!$F$5:$F$502,C47,'CHIT REGISTER (ಮಾಸಿಕ ಚಿಟ್ ನೋಂದಣ'!$G$5:$G$502,"UNPAID")-IF(F47="PAID",N(D47),0)))</f>
        <v/>
      </c>
      <c r="F47" s="4"/>
      <c r="G47" s="12"/>
      <c r="H47" s="2"/>
    </row>
    <row r="48" spans="1:8">
      <c r="A48" s="1"/>
      <c r="B48" s="14"/>
      <c r="C48" s="1"/>
      <c r="D48" s="15"/>
      <c r="E48" s="9" t="str">
        <f>IF(C48="","",MAX(0,SUMIFS('CHIT REGISTER (ಮಾಸಿಕ ಚಿಟ್ ನೋಂದಣ'!$D$5:$D$502,'CHIT REGISTER (ಮಾಸಿಕ ಚಿಟ್ ನೋಂದಣ'!$F$5:$F$502,C48,'CHIT REGISTER (ಮಾಸಿಕ ಚಿಟ್ ನೋಂದಣ'!$G$5:$G$502,"UNPAID")-IF(F48="PAID",N(D48),0)))</f>
        <v/>
      </c>
      <c r="F48" s="3"/>
      <c r="G48" s="14"/>
      <c r="H48" s="1"/>
    </row>
    <row r="49" spans="1:8">
      <c r="A49" s="2"/>
      <c r="B49" s="12"/>
      <c r="C49" s="2"/>
      <c r="D49" s="13"/>
      <c r="E49" s="8" t="str">
        <f>IF(C49="","",MAX(0,SUMIFS('CHIT REGISTER (ಮಾಸಿಕ ಚಿಟ್ ನೋಂದಣ'!$D$5:$D$502,'CHIT REGISTER (ಮಾಸಿಕ ಚಿಟ್ ನೋಂದಣ'!$F$5:$F$502,C49,'CHIT REGISTER (ಮಾಸಿಕ ಚಿಟ್ ನೋಂದಣ'!$G$5:$G$502,"UNPAID")-IF(F49="PAID",N(D49),0)))</f>
        <v/>
      </c>
      <c r="F49" s="4"/>
      <c r="G49" s="12"/>
      <c r="H49" s="2"/>
    </row>
    <row r="50" spans="1:8">
      <c r="A50" s="1"/>
      <c r="B50" s="14"/>
      <c r="C50" s="1"/>
      <c r="D50" s="15"/>
      <c r="E50" s="9" t="str">
        <f>IF(C50="","",MAX(0,SUMIFS('CHIT REGISTER (ಮಾಸಿಕ ಚಿಟ್ ನೋಂದಣ'!$D$5:$D$502,'CHIT REGISTER (ಮಾಸಿಕ ಚಿಟ್ ನೋಂದಣ'!$F$5:$F$502,C50,'CHIT REGISTER (ಮಾಸಿಕ ಚಿಟ್ ನೋಂದಣ'!$G$5:$G$502,"UNPAID")-IF(F50="PAID",N(D50),0)))</f>
        <v/>
      </c>
      <c r="F50" s="3"/>
      <c r="G50" s="14"/>
      <c r="H50" s="1"/>
    </row>
    <row r="51" spans="1:8">
      <c r="A51" s="2"/>
      <c r="B51" s="12"/>
      <c r="C51" s="2"/>
      <c r="D51" s="13"/>
      <c r="E51" s="8" t="str">
        <f>IF(C51="","",MAX(0,SUMIFS('CHIT REGISTER (ಮಾಸಿಕ ಚಿಟ್ ನೋಂದಣ'!$D$5:$D$502,'CHIT REGISTER (ಮಾಸಿಕ ಚಿಟ್ ನೋಂದಣ'!$F$5:$F$502,C51,'CHIT REGISTER (ಮಾಸಿಕ ಚಿಟ್ ನೋಂದಣ'!$G$5:$G$502,"UNPAID")-IF(F51="PAID",N(D51),0)))</f>
        <v/>
      </c>
      <c r="F51" s="4"/>
      <c r="G51" s="12"/>
      <c r="H51" s="2"/>
    </row>
    <row r="52" spans="1:8">
      <c r="A52" s="1"/>
      <c r="B52" s="14"/>
      <c r="C52" s="1"/>
      <c r="D52" s="15"/>
      <c r="E52" s="9" t="str">
        <f>IF(C52="","",MAX(0,SUMIFS('CHIT REGISTER (ಮಾಸಿಕ ಚಿಟ್ ನೋಂದಣ'!$D$5:$D$502,'CHIT REGISTER (ಮಾಸಿಕ ಚಿಟ್ ನೋಂದಣ'!$F$5:$F$502,C52,'CHIT REGISTER (ಮಾಸಿಕ ಚಿಟ್ ನೋಂದಣ'!$G$5:$G$502,"UNPAID")-IF(F52="PAID",N(D52),0)))</f>
        <v/>
      </c>
      <c r="F52" s="3"/>
      <c r="G52" s="14"/>
      <c r="H52" s="1"/>
    </row>
    <row r="53" spans="1:8">
      <c r="A53" s="2"/>
      <c r="B53" s="12"/>
      <c r="C53" s="2"/>
      <c r="D53" s="13"/>
      <c r="E53" s="8" t="str">
        <f>IF(C53="","",MAX(0,SUMIFS('CHIT REGISTER (ಮಾಸಿಕ ಚಿಟ್ ನೋಂದಣ'!$D$5:$D$502,'CHIT REGISTER (ಮಾಸಿಕ ಚಿಟ್ ನೋಂದಣ'!$F$5:$F$502,C53,'CHIT REGISTER (ಮಾಸಿಕ ಚಿಟ್ ನೋಂದಣ'!$G$5:$G$502,"UNPAID")-IF(F53="PAID",N(D53),0)))</f>
        <v/>
      </c>
      <c r="F53" s="4"/>
      <c r="G53" s="12"/>
      <c r="H53" s="2"/>
    </row>
    <row r="54" spans="1:8">
      <c r="A54" s="1"/>
      <c r="B54" s="14"/>
      <c r="C54" s="1"/>
      <c r="D54" s="15"/>
      <c r="E54" s="9" t="str">
        <f>IF(C54="","",MAX(0,SUMIFS('CHIT REGISTER (ಮಾಸಿಕ ಚಿಟ್ ನೋಂದಣ'!$D$5:$D$502,'CHIT REGISTER (ಮಾಸಿಕ ಚಿಟ್ ನೋಂದಣ'!$F$5:$F$502,C54,'CHIT REGISTER (ಮಾಸಿಕ ಚಿಟ್ ನೋಂದಣ'!$G$5:$G$502,"UNPAID")-IF(F54="PAID",N(D54),0)))</f>
        <v/>
      </c>
      <c r="F54" s="3"/>
      <c r="G54" s="14"/>
      <c r="H54" s="1"/>
    </row>
    <row r="55" spans="1:8">
      <c r="A55" s="2"/>
      <c r="B55" s="12"/>
      <c r="C55" s="2"/>
      <c r="D55" s="13"/>
      <c r="E55" s="8" t="str">
        <f>IF(C55="","",MAX(0,SUMIFS('CHIT REGISTER (ಮಾಸಿಕ ಚಿಟ್ ನೋಂದಣ'!$D$5:$D$502,'CHIT REGISTER (ಮಾಸಿಕ ಚಿಟ್ ನೋಂದಣ'!$F$5:$F$502,C55,'CHIT REGISTER (ಮಾಸಿಕ ಚಿಟ್ ನೋಂದಣ'!$G$5:$G$502,"UNPAID")-IF(F55="PAID",N(D55),0)))</f>
        <v/>
      </c>
      <c r="F55" s="4"/>
      <c r="G55" s="12"/>
      <c r="H55" s="2"/>
    </row>
    <row r="56" spans="1:8">
      <c r="A56" s="1"/>
      <c r="B56" s="14"/>
      <c r="C56" s="1"/>
      <c r="D56" s="15"/>
      <c r="E56" s="9" t="str">
        <f>IF(C56="","",MAX(0,SUMIFS('CHIT REGISTER (ಮಾಸಿಕ ಚಿಟ್ ನೋಂದಣ'!$D$5:$D$502,'CHIT REGISTER (ಮಾಸಿಕ ಚಿಟ್ ನೋಂದಣ'!$F$5:$F$502,C56,'CHIT REGISTER (ಮಾಸಿಕ ಚಿಟ್ ನೋಂದಣ'!$G$5:$G$502,"UNPAID")-IF(F56="PAID",N(D56),0)))</f>
        <v/>
      </c>
      <c r="F56" s="3"/>
      <c r="G56" s="14"/>
      <c r="H56" s="1"/>
    </row>
    <row r="57" spans="1:8">
      <c r="A57" s="2"/>
      <c r="B57" s="12"/>
      <c r="C57" s="2"/>
      <c r="D57" s="13"/>
      <c r="E57" s="8" t="str">
        <f>IF(C57="","",MAX(0,SUMIFS('CHIT REGISTER (ಮಾಸಿಕ ಚಿಟ್ ನೋಂದಣ'!$D$5:$D$502,'CHIT REGISTER (ಮಾಸಿಕ ಚಿಟ್ ನೋಂದಣ'!$F$5:$F$502,C57,'CHIT REGISTER (ಮಾಸಿಕ ಚಿಟ್ ನೋಂದಣ'!$G$5:$G$502,"UNPAID")-IF(F57="PAID",N(D57),0)))</f>
        <v/>
      </c>
      <c r="F57" s="4"/>
      <c r="G57" s="12"/>
      <c r="H57" s="2"/>
    </row>
    <row r="58" spans="1:8">
      <c r="A58" s="1"/>
      <c r="B58" s="14"/>
      <c r="C58" s="1"/>
      <c r="D58" s="15"/>
      <c r="E58" s="9" t="str">
        <f>IF(C58="","",MAX(0,SUMIFS('CHIT REGISTER (ಮಾಸಿಕ ಚಿಟ್ ನೋಂದಣ'!$D$5:$D$502,'CHIT REGISTER (ಮಾಸಿಕ ಚಿಟ್ ನೋಂದಣ'!$F$5:$F$502,C58,'CHIT REGISTER (ಮಾಸಿಕ ಚಿಟ್ ನೋಂದಣ'!$G$5:$G$502,"UNPAID")-IF(F58="PAID",N(D58),0)))</f>
        <v/>
      </c>
      <c r="F58" s="3"/>
      <c r="G58" s="14"/>
      <c r="H58" s="1"/>
    </row>
    <row r="59" spans="1:8">
      <c r="A59" s="2"/>
      <c r="B59" s="12"/>
      <c r="C59" s="2"/>
      <c r="D59" s="13"/>
      <c r="E59" s="8" t="str">
        <f>IF(C59="","",MAX(0,SUMIFS('CHIT REGISTER (ಮಾಸಿಕ ಚಿಟ್ ನೋಂದಣ'!$D$5:$D$502,'CHIT REGISTER (ಮಾಸಿಕ ಚಿಟ್ ನೋಂದಣ'!$F$5:$F$502,C59,'CHIT REGISTER (ಮಾಸಿಕ ಚಿಟ್ ನೋಂದಣ'!$G$5:$G$502,"UNPAID")-IF(F59="PAID",N(D59),0)))</f>
        <v/>
      </c>
      <c r="F59" s="4"/>
      <c r="G59" s="12"/>
      <c r="H59" s="2"/>
    </row>
    <row r="60" spans="1:8">
      <c r="A60" s="1"/>
      <c r="B60" s="14"/>
      <c r="C60" s="1"/>
      <c r="D60" s="15"/>
      <c r="E60" s="9" t="str">
        <f>IF(C60="","",MAX(0,SUMIFS('CHIT REGISTER (ಮಾಸಿಕ ಚಿಟ್ ನೋಂದಣ'!$D$5:$D$502,'CHIT REGISTER (ಮಾಸಿಕ ಚಿಟ್ ನೋಂದಣ'!$F$5:$F$502,C60,'CHIT REGISTER (ಮಾಸಿಕ ಚಿಟ್ ನೋಂದಣ'!$G$5:$G$502,"UNPAID")-IF(F60="PAID",N(D60),0)))</f>
        <v/>
      </c>
      <c r="F60" s="3"/>
      <c r="G60" s="14"/>
      <c r="H60" s="1"/>
    </row>
    <row r="61" spans="1:8">
      <c r="A61" s="2"/>
      <c r="B61" s="12"/>
      <c r="C61" s="2"/>
      <c r="D61" s="13"/>
      <c r="E61" s="8" t="str">
        <f>IF(C61="","",MAX(0,SUMIFS('CHIT REGISTER (ಮಾಸಿಕ ಚಿಟ್ ನೋಂದಣ'!$D$5:$D$502,'CHIT REGISTER (ಮಾಸಿಕ ಚಿಟ್ ನೋಂದಣ'!$F$5:$F$502,C61,'CHIT REGISTER (ಮಾಸಿಕ ಚಿಟ್ ನೋಂದಣ'!$G$5:$G$502,"UNPAID")-IF(F61="PAID",N(D61),0)))</f>
        <v/>
      </c>
      <c r="F61" s="4"/>
      <c r="G61" s="12"/>
      <c r="H61" s="2"/>
    </row>
    <row r="62" spans="1:8">
      <c r="A62" s="1"/>
      <c r="B62" s="14"/>
      <c r="C62" s="1"/>
      <c r="D62" s="15"/>
      <c r="E62" s="9" t="str">
        <f>IF(C62="","",MAX(0,SUMIFS('CHIT REGISTER (ಮಾಸಿಕ ಚಿಟ್ ನೋಂದಣ'!$D$5:$D$502,'CHIT REGISTER (ಮಾಸಿಕ ಚಿಟ್ ನೋಂದಣ'!$F$5:$F$502,C62,'CHIT REGISTER (ಮಾಸಿಕ ಚಿಟ್ ನೋಂದಣ'!$G$5:$G$502,"UNPAID")-IF(F62="PAID",N(D62),0)))</f>
        <v/>
      </c>
      <c r="F62" s="3"/>
      <c r="G62" s="14"/>
      <c r="H62" s="1"/>
    </row>
    <row r="63" spans="1:8">
      <c r="A63" s="2"/>
      <c r="B63" s="12"/>
      <c r="C63" s="2"/>
      <c r="D63" s="13"/>
      <c r="E63" s="8" t="str">
        <f>IF(C63="","",MAX(0,SUMIFS('CHIT REGISTER (ಮಾಸಿಕ ಚಿಟ್ ನೋಂದಣ'!$D$5:$D$502,'CHIT REGISTER (ಮಾಸಿಕ ಚಿಟ್ ನೋಂದಣ'!$F$5:$F$502,C63,'CHIT REGISTER (ಮಾಸಿಕ ಚಿಟ್ ನೋಂದಣ'!$G$5:$G$502,"UNPAID")-IF(F63="PAID",N(D63),0)))</f>
        <v/>
      </c>
      <c r="F63" s="4"/>
      <c r="G63" s="12"/>
      <c r="H63" s="2"/>
    </row>
    <row r="64" spans="1:8">
      <c r="A64" s="1"/>
      <c r="B64" s="14"/>
      <c r="C64" s="1"/>
      <c r="D64" s="15"/>
      <c r="E64" s="9" t="str">
        <f>IF(C64="","",MAX(0,SUMIFS('CHIT REGISTER (ಮಾಸಿಕ ಚಿಟ್ ನೋಂದಣ'!$D$5:$D$502,'CHIT REGISTER (ಮಾಸಿಕ ಚಿಟ್ ನೋಂದಣ'!$F$5:$F$502,C64,'CHIT REGISTER (ಮಾಸಿಕ ಚಿಟ್ ನೋಂದಣ'!$G$5:$G$502,"UNPAID")-IF(F64="PAID",N(D64),0)))</f>
        <v/>
      </c>
      <c r="F64" s="3"/>
      <c r="G64" s="14"/>
      <c r="H64" s="1"/>
    </row>
    <row r="65" spans="1:8">
      <c r="A65" s="2"/>
      <c r="B65" s="12"/>
      <c r="C65" s="2"/>
      <c r="D65" s="13"/>
      <c r="E65" s="8" t="str">
        <f>IF(C65="","",MAX(0,SUMIFS('CHIT REGISTER (ಮಾಸಿಕ ಚಿಟ್ ನೋಂದಣ'!$D$5:$D$502,'CHIT REGISTER (ಮಾಸಿಕ ಚಿಟ್ ನೋಂದಣ'!$F$5:$F$502,C65,'CHIT REGISTER (ಮಾಸಿಕ ಚಿಟ್ ನೋಂದಣ'!$G$5:$G$502,"UNPAID")-IF(F65="PAID",N(D65),0)))</f>
        <v/>
      </c>
      <c r="F65" s="4"/>
      <c r="G65" s="12"/>
      <c r="H65" s="2"/>
    </row>
    <row r="66" spans="1:8">
      <c r="A66" s="1"/>
      <c r="B66" s="14"/>
      <c r="C66" s="1"/>
      <c r="D66" s="15"/>
      <c r="E66" s="9" t="str">
        <f>IF(C66="","",MAX(0,SUMIFS('CHIT REGISTER (ಮಾಸಿಕ ಚಿಟ್ ನೋಂದಣ'!$D$5:$D$502,'CHIT REGISTER (ಮಾಸಿಕ ಚಿಟ್ ನೋಂದಣ'!$F$5:$F$502,C66,'CHIT REGISTER (ಮಾಸಿಕ ಚಿಟ್ ನೋಂದಣ'!$G$5:$G$502,"UNPAID")-IF(F66="PAID",N(D66),0)))</f>
        <v/>
      </c>
      <c r="F66" s="3"/>
      <c r="G66" s="14"/>
      <c r="H66" s="1"/>
    </row>
    <row r="67" spans="1:8">
      <c r="A67" s="2"/>
      <c r="B67" s="12"/>
      <c r="C67" s="2"/>
      <c r="D67" s="13"/>
      <c r="E67" s="8" t="str">
        <f>IF(C67="","",MAX(0,SUMIFS('CHIT REGISTER (ಮಾಸಿಕ ಚಿಟ್ ನೋಂದಣ'!$D$5:$D$502,'CHIT REGISTER (ಮಾಸಿಕ ಚಿಟ್ ನೋಂದಣ'!$F$5:$F$502,C67,'CHIT REGISTER (ಮಾಸಿಕ ಚಿಟ್ ನೋಂದಣ'!$G$5:$G$502,"UNPAID")-IF(F67="PAID",N(D67),0)))</f>
        <v/>
      </c>
      <c r="F67" s="4"/>
      <c r="G67" s="12"/>
      <c r="H67" s="2"/>
    </row>
    <row r="68" spans="1:8">
      <c r="A68" s="1"/>
      <c r="B68" s="14"/>
      <c r="C68" s="1"/>
      <c r="D68" s="15"/>
      <c r="E68" s="9" t="str">
        <f>IF(C68="","",MAX(0,SUMIFS('CHIT REGISTER (ಮಾಸಿಕ ಚಿಟ್ ನೋಂದಣ'!$D$5:$D$502,'CHIT REGISTER (ಮಾಸಿಕ ಚಿಟ್ ನೋಂದಣ'!$F$5:$F$502,C68,'CHIT REGISTER (ಮಾಸಿಕ ಚಿಟ್ ನೋಂದಣ'!$G$5:$G$502,"UNPAID")-IF(F68="PAID",N(D68),0)))</f>
        <v/>
      </c>
      <c r="F68" s="3"/>
      <c r="G68" s="14"/>
      <c r="H68" s="1"/>
    </row>
    <row r="69" spans="1:8">
      <c r="A69" s="2"/>
      <c r="B69" s="12"/>
      <c r="C69" s="2"/>
      <c r="D69" s="13"/>
      <c r="E69" s="8" t="str">
        <f>IF(C69="","",MAX(0,SUMIFS('CHIT REGISTER (ಮಾಸಿಕ ಚಿಟ್ ನೋಂದಣ'!$D$5:$D$502,'CHIT REGISTER (ಮಾಸಿಕ ಚಿಟ್ ನೋಂದಣ'!$F$5:$F$502,C69,'CHIT REGISTER (ಮಾಸಿಕ ಚಿಟ್ ನೋಂದಣ'!$G$5:$G$502,"UNPAID")-IF(F69="PAID",N(D69),0)))</f>
        <v/>
      </c>
      <c r="F69" s="4"/>
      <c r="G69" s="12"/>
      <c r="H69" s="2"/>
    </row>
    <row r="70" spans="1:8">
      <c r="A70" s="1"/>
      <c r="B70" s="14"/>
      <c r="C70" s="1"/>
      <c r="D70" s="15"/>
      <c r="E70" s="9" t="str">
        <f>IF(C70="","",MAX(0,SUMIFS('CHIT REGISTER (ಮಾಸಿಕ ಚಿಟ್ ನೋಂದಣ'!$D$5:$D$502,'CHIT REGISTER (ಮಾಸಿಕ ಚಿಟ್ ನೋಂದಣ'!$F$5:$F$502,C70,'CHIT REGISTER (ಮಾಸಿಕ ಚಿಟ್ ನೋಂದಣ'!$G$5:$G$502,"UNPAID")-IF(F70="PAID",N(D70),0)))</f>
        <v/>
      </c>
      <c r="F70" s="3"/>
      <c r="G70" s="14"/>
      <c r="H70" s="1"/>
    </row>
    <row r="71" spans="1:8">
      <c r="A71" s="2"/>
      <c r="B71" s="12"/>
      <c r="C71" s="2"/>
      <c r="D71" s="13"/>
      <c r="E71" s="8" t="str">
        <f>IF(C71="","",MAX(0,SUMIFS('CHIT REGISTER (ಮಾಸಿಕ ಚಿಟ್ ನೋಂದಣ'!$D$5:$D$502,'CHIT REGISTER (ಮಾಸಿಕ ಚಿಟ್ ನೋಂದಣ'!$F$5:$F$502,C71,'CHIT REGISTER (ಮಾಸಿಕ ಚಿಟ್ ನೋಂದಣ'!$G$5:$G$502,"UNPAID")-IF(F71="PAID",N(D71),0)))</f>
        <v/>
      </c>
      <c r="F71" s="4"/>
      <c r="G71" s="12"/>
      <c r="H71" s="2"/>
    </row>
    <row r="72" spans="1:8">
      <c r="A72" s="1"/>
      <c r="B72" s="14"/>
      <c r="C72" s="1"/>
      <c r="D72" s="15"/>
      <c r="E72" s="9" t="str">
        <f>IF(C72="","",MAX(0,SUMIFS('CHIT REGISTER (ಮಾಸಿಕ ಚಿಟ್ ನೋಂದಣ'!$D$5:$D$502,'CHIT REGISTER (ಮಾಸಿಕ ಚಿಟ್ ನೋಂದಣ'!$F$5:$F$502,C72,'CHIT REGISTER (ಮಾಸಿಕ ಚಿಟ್ ನೋಂದಣ'!$G$5:$G$502,"UNPAID")-IF(F72="PAID",N(D72),0)))</f>
        <v/>
      </c>
      <c r="F72" s="3"/>
      <c r="G72" s="14"/>
      <c r="H72" s="1"/>
    </row>
    <row r="73" spans="1:8">
      <c r="A73" s="2"/>
      <c r="B73" s="12"/>
      <c r="C73" s="2"/>
      <c r="D73" s="13"/>
      <c r="E73" s="8" t="str">
        <f>IF(C73="","",MAX(0,SUMIFS('CHIT REGISTER (ಮಾಸಿಕ ಚಿಟ್ ನೋಂದಣ'!$D$5:$D$502,'CHIT REGISTER (ಮಾಸಿಕ ಚಿಟ್ ನೋಂದಣ'!$F$5:$F$502,C73,'CHIT REGISTER (ಮಾಸಿಕ ಚಿಟ್ ನೋಂದಣ'!$G$5:$G$502,"UNPAID")-IF(F73="PAID",N(D73),0)))</f>
        <v/>
      </c>
      <c r="F73" s="4"/>
      <c r="G73" s="12"/>
      <c r="H73" s="2"/>
    </row>
    <row r="74" spans="1:8">
      <c r="A74" s="1"/>
      <c r="B74" s="14"/>
      <c r="C74" s="1"/>
      <c r="D74" s="15"/>
      <c r="E74" s="9" t="str">
        <f>IF(C74="","",MAX(0,SUMIFS('CHIT REGISTER (ಮಾಸಿಕ ಚಿಟ್ ನೋಂದಣ'!$D$5:$D$502,'CHIT REGISTER (ಮಾಸಿಕ ಚಿಟ್ ನೋಂದಣ'!$F$5:$F$502,C74,'CHIT REGISTER (ಮಾಸಿಕ ಚಿಟ್ ನೋಂದಣ'!$G$5:$G$502,"UNPAID")-IF(F74="PAID",N(D74),0)))</f>
        <v/>
      </c>
      <c r="F74" s="3"/>
      <c r="G74" s="14"/>
      <c r="H74" s="1"/>
    </row>
    <row r="75" spans="1:8">
      <c r="A75" s="2"/>
      <c r="B75" s="12"/>
      <c r="C75" s="2"/>
      <c r="D75" s="13"/>
      <c r="E75" s="8" t="str">
        <f>IF(C75="","",MAX(0,SUMIFS('CHIT REGISTER (ಮಾಸಿಕ ಚಿಟ್ ನೋಂದಣ'!$D$5:$D$502,'CHIT REGISTER (ಮಾಸಿಕ ಚಿಟ್ ನೋಂದಣ'!$F$5:$F$502,C75,'CHIT REGISTER (ಮಾಸಿಕ ಚಿಟ್ ನೋಂದಣ'!$G$5:$G$502,"UNPAID")-IF(F75="PAID",N(D75),0)))</f>
        <v/>
      </c>
      <c r="F75" s="4"/>
      <c r="G75" s="12"/>
      <c r="H75" s="2"/>
    </row>
    <row r="76" spans="1:8">
      <c r="A76" s="1"/>
      <c r="B76" s="14"/>
      <c r="C76" s="1"/>
      <c r="D76" s="15"/>
      <c r="E76" s="9" t="str">
        <f>IF(C76="","",MAX(0,SUMIFS('CHIT REGISTER (ಮಾಸಿಕ ಚಿಟ್ ನೋಂದಣ'!$D$5:$D$502,'CHIT REGISTER (ಮಾಸಿಕ ಚಿಟ್ ನೋಂದಣ'!$F$5:$F$502,C76,'CHIT REGISTER (ಮಾಸಿಕ ಚಿಟ್ ನೋಂದಣ'!$G$5:$G$502,"UNPAID")-IF(F76="PAID",N(D76),0)))</f>
        <v/>
      </c>
      <c r="F76" s="3"/>
      <c r="G76" s="14"/>
      <c r="H76" s="1"/>
    </row>
    <row r="77" spans="1:8">
      <c r="A77" s="2"/>
      <c r="B77" s="12"/>
      <c r="C77" s="2"/>
      <c r="D77" s="13"/>
      <c r="E77" s="8" t="str">
        <f>IF(C77="","",MAX(0,SUMIFS('CHIT REGISTER (ಮಾಸಿಕ ಚಿಟ್ ನೋಂದಣ'!$D$5:$D$502,'CHIT REGISTER (ಮಾಸಿಕ ಚಿಟ್ ನೋಂದಣ'!$F$5:$F$502,C77,'CHIT REGISTER (ಮಾಸಿಕ ಚಿಟ್ ನೋಂದಣ'!$G$5:$G$502,"UNPAID")-IF(F77="PAID",N(D77),0)))</f>
        <v/>
      </c>
      <c r="F77" s="4"/>
      <c r="G77" s="12"/>
      <c r="H77" s="2"/>
    </row>
    <row r="78" spans="1:8">
      <c r="A78" s="1"/>
      <c r="B78" s="14"/>
      <c r="C78" s="1"/>
      <c r="D78" s="15"/>
      <c r="E78" s="9" t="str">
        <f>IF(C78="","",MAX(0,SUMIFS('CHIT REGISTER (ಮಾಸಿಕ ಚಿಟ್ ನೋಂದಣ'!$D$5:$D$502,'CHIT REGISTER (ಮಾಸಿಕ ಚಿಟ್ ನೋಂದಣ'!$F$5:$F$502,C78,'CHIT REGISTER (ಮಾಸಿಕ ಚಿಟ್ ನೋಂದಣ'!$G$5:$G$502,"UNPAID")-IF(F78="PAID",N(D78),0)))</f>
        <v/>
      </c>
      <c r="F78" s="3"/>
      <c r="G78" s="14"/>
      <c r="H78" s="1"/>
    </row>
    <row r="79" spans="1:8">
      <c r="A79" s="2"/>
      <c r="B79" s="12"/>
      <c r="C79" s="2"/>
      <c r="D79" s="13"/>
      <c r="E79" s="8" t="str">
        <f>IF(C79="","",MAX(0,SUMIFS('CHIT REGISTER (ಮಾಸಿಕ ಚಿಟ್ ನೋಂದಣ'!$D$5:$D$502,'CHIT REGISTER (ಮಾಸಿಕ ಚಿಟ್ ನೋಂದಣ'!$F$5:$F$502,C79,'CHIT REGISTER (ಮಾಸಿಕ ಚಿಟ್ ನೋಂದಣ'!$G$5:$G$502,"UNPAID")-IF(F79="PAID",N(D79),0)))</f>
        <v/>
      </c>
      <c r="F79" s="4"/>
      <c r="G79" s="12"/>
      <c r="H79" s="2"/>
    </row>
    <row r="80" spans="1:8">
      <c r="A80" s="1"/>
      <c r="B80" s="14"/>
      <c r="C80" s="1"/>
      <c r="D80" s="15"/>
      <c r="E80" s="9" t="str">
        <f>IF(C80="","",MAX(0,SUMIFS('CHIT REGISTER (ಮಾಸಿಕ ಚಿಟ್ ನೋಂದಣ'!$D$5:$D$502,'CHIT REGISTER (ಮಾಸಿಕ ಚಿಟ್ ನೋಂದಣ'!$F$5:$F$502,C80,'CHIT REGISTER (ಮಾಸಿಕ ಚಿಟ್ ನೋಂದಣ'!$G$5:$G$502,"UNPAID")-IF(F80="PAID",N(D80),0)))</f>
        <v/>
      </c>
      <c r="F80" s="3"/>
      <c r="G80" s="14"/>
      <c r="H80" s="1"/>
    </row>
    <row r="81" spans="1:8">
      <c r="A81" s="2"/>
      <c r="B81" s="12"/>
      <c r="C81" s="2"/>
      <c r="D81" s="13"/>
      <c r="E81" s="8" t="str">
        <f>IF(C81="","",MAX(0,SUMIFS('CHIT REGISTER (ಮಾಸಿಕ ಚಿಟ್ ನೋಂದಣ'!$D$5:$D$502,'CHIT REGISTER (ಮಾಸಿಕ ಚಿಟ್ ನೋಂದಣ'!$F$5:$F$502,C81,'CHIT REGISTER (ಮಾಸಿಕ ಚಿಟ್ ನೋಂದಣ'!$G$5:$G$502,"UNPAID")-IF(F81="PAID",N(D81),0)))</f>
        <v/>
      </c>
      <c r="F81" s="4"/>
      <c r="G81" s="12"/>
      <c r="H81" s="2"/>
    </row>
    <row r="82" spans="1:8">
      <c r="A82" s="1"/>
      <c r="B82" s="14"/>
      <c r="C82" s="1"/>
      <c r="D82" s="15"/>
      <c r="E82" s="9" t="str">
        <f>IF(C82="","",MAX(0,SUMIFS('CHIT REGISTER (ಮಾಸಿಕ ಚಿಟ್ ನೋಂದಣ'!$D$5:$D$502,'CHIT REGISTER (ಮಾಸಿಕ ಚಿಟ್ ನೋಂದಣ'!$F$5:$F$502,C82,'CHIT REGISTER (ಮಾಸಿಕ ಚಿಟ್ ನೋಂದಣ'!$G$5:$G$502,"UNPAID")-IF(F82="PAID",N(D82),0)))</f>
        <v/>
      </c>
      <c r="F82" s="3"/>
      <c r="G82" s="14"/>
      <c r="H82" s="1"/>
    </row>
    <row r="83" spans="1:8">
      <c r="A83" s="2"/>
      <c r="B83" s="12"/>
      <c r="C83" s="2"/>
      <c r="D83" s="13"/>
      <c r="E83" s="8" t="str">
        <f>IF(C83="","",MAX(0,SUMIFS('CHIT REGISTER (ಮಾಸಿಕ ಚಿಟ್ ನೋಂದಣ'!$D$5:$D$502,'CHIT REGISTER (ಮಾಸಿಕ ಚಿಟ್ ನೋಂದಣ'!$F$5:$F$502,C83,'CHIT REGISTER (ಮಾಸಿಕ ಚಿಟ್ ನೋಂದಣ'!$G$5:$G$502,"UNPAID")-IF(F83="PAID",N(D83),0)))</f>
        <v/>
      </c>
      <c r="F83" s="4"/>
      <c r="G83" s="12"/>
      <c r="H83" s="2"/>
    </row>
    <row r="84" spans="1:8">
      <c r="A84" s="1"/>
      <c r="B84" s="14"/>
      <c r="C84" s="1"/>
      <c r="D84" s="15"/>
      <c r="E84" s="9" t="str">
        <f>IF(C84="","",MAX(0,SUMIFS('CHIT REGISTER (ಮಾಸಿಕ ಚಿಟ್ ನೋಂದಣ'!$D$5:$D$502,'CHIT REGISTER (ಮಾಸಿಕ ಚಿಟ್ ನೋಂದಣ'!$F$5:$F$502,C84,'CHIT REGISTER (ಮಾಸಿಕ ಚಿಟ್ ನೋಂದಣ'!$G$5:$G$502,"UNPAID")-IF(F84="PAID",N(D84),0)))</f>
        <v/>
      </c>
      <c r="F84" s="3"/>
      <c r="G84" s="14"/>
      <c r="H84" s="1"/>
    </row>
    <row r="85" spans="1:8">
      <c r="A85" s="2"/>
      <c r="B85" s="12"/>
      <c r="C85" s="2"/>
      <c r="D85" s="13"/>
      <c r="E85" s="8" t="str">
        <f>IF(C85="","",MAX(0,SUMIFS('CHIT REGISTER (ಮಾಸಿಕ ಚಿಟ್ ನೋಂದಣ'!$D$5:$D$502,'CHIT REGISTER (ಮಾಸಿಕ ಚಿಟ್ ನೋಂದಣ'!$F$5:$F$502,C85,'CHIT REGISTER (ಮಾಸಿಕ ಚಿಟ್ ನೋಂದಣ'!$G$5:$G$502,"UNPAID")-IF(F85="PAID",N(D85),0)))</f>
        <v/>
      </c>
      <c r="F85" s="4"/>
      <c r="G85" s="12"/>
      <c r="H85" s="2"/>
    </row>
    <row r="86" spans="1:8">
      <c r="A86" s="1"/>
      <c r="B86" s="14"/>
      <c r="C86" s="1"/>
      <c r="D86" s="15"/>
      <c r="E86" s="9" t="str">
        <f>IF(C86="","",MAX(0,SUMIFS('CHIT REGISTER (ಮಾಸಿಕ ಚಿಟ್ ನೋಂದಣ'!$D$5:$D$502,'CHIT REGISTER (ಮಾಸಿಕ ಚಿಟ್ ನೋಂದಣ'!$F$5:$F$502,C86,'CHIT REGISTER (ಮಾಸಿಕ ಚಿಟ್ ನೋಂದಣ'!$G$5:$G$502,"UNPAID")-IF(F86="PAID",N(D86),0)))</f>
        <v/>
      </c>
      <c r="F86" s="3"/>
      <c r="G86" s="14"/>
      <c r="H86" s="1"/>
    </row>
    <row r="87" spans="1:8">
      <c r="A87" s="2"/>
      <c r="B87" s="12"/>
      <c r="C87" s="2"/>
      <c r="D87" s="13"/>
      <c r="E87" s="8" t="str">
        <f>IF(C87="","",MAX(0,SUMIFS('CHIT REGISTER (ಮಾಸಿಕ ಚಿಟ್ ನೋಂದಣ'!$D$5:$D$502,'CHIT REGISTER (ಮಾಸಿಕ ಚಿಟ್ ನೋಂದಣ'!$F$5:$F$502,C87,'CHIT REGISTER (ಮಾಸಿಕ ಚಿಟ್ ನೋಂದಣ'!$G$5:$G$502,"UNPAID")-IF(F87="PAID",N(D87),0)))</f>
        <v/>
      </c>
      <c r="F87" s="4"/>
      <c r="G87" s="12"/>
      <c r="H87" s="2"/>
    </row>
    <row r="88" spans="1:8">
      <c r="A88" s="1"/>
      <c r="B88" s="14"/>
      <c r="C88" s="1"/>
      <c r="D88" s="15"/>
      <c r="E88" s="9" t="str">
        <f>IF(C88="","",MAX(0,SUMIFS('CHIT REGISTER (ಮಾಸಿಕ ಚಿಟ್ ನೋಂದಣ'!$D$5:$D$502,'CHIT REGISTER (ಮಾಸಿಕ ಚಿಟ್ ನೋಂದಣ'!$F$5:$F$502,C88,'CHIT REGISTER (ಮಾಸಿಕ ಚಿಟ್ ನೋಂದಣ'!$G$5:$G$502,"UNPAID")-IF(F88="PAID",N(D88),0)))</f>
        <v/>
      </c>
      <c r="F88" s="3"/>
      <c r="G88" s="14"/>
      <c r="H88" s="1"/>
    </row>
    <row r="89" spans="1:8">
      <c r="A89" s="2"/>
      <c r="B89" s="12"/>
      <c r="C89" s="2"/>
      <c r="D89" s="13"/>
      <c r="E89" s="8" t="str">
        <f>IF(C89="","",MAX(0,SUMIFS('CHIT REGISTER (ಮಾಸಿಕ ಚಿಟ್ ನೋಂದಣ'!$D$5:$D$502,'CHIT REGISTER (ಮಾಸಿಕ ಚಿಟ್ ನೋಂದಣ'!$F$5:$F$502,C89,'CHIT REGISTER (ಮಾಸಿಕ ಚಿಟ್ ನೋಂದಣ'!$G$5:$G$502,"UNPAID")-IF(F89="PAID",N(D89),0)))</f>
        <v/>
      </c>
      <c r="F89" s="4"/>
      <c r="G89" s="12"/>
      <c r="H89" s="2"/>
    </row>
    <row r="90" spans="1:8">
      <c r="A90" s="1"/>
      <c r="B90" s="14"/>
      <c r="C90" s="1"/>
      <c r="D90" s="15"/>
      <c r="E90" s="9" t="str">
        <f>IF(C90="","",MAX(0,SUMIFS('CHIT REGISTER (ಮಾಸಿಕ ಚಿಟ್ ನೋಂದಣ'!$D$5:$D$502,'CHIT REGISTER (ಮಾಸಿಕ ಚಿಟ್ ನೋಂದಣ'!$F$5:$F$502,C90,'CHIT REGISTER (ಮಾಸಿಕ ಚಿಟ್ ನೋಂದಣ'!$G$5:$G$502,"UNPAID")-IF(F90="PAID",N(D90),0)))</f>
        <v/>
      </c>
      <c r="F90" s="3"/>
      <c r="G90" s="14"/>
      <c r="H90" s="1"/>
    </row>
    <row r="91" spans="1:8">
      <c r="A91" s="2"/>
      <c r="B91" s="12"/>
      <c r="C91" s="2"/>
      <c r="D91" s="13"/>
      <c r="E91" s="8" t="str">
        <f>IF(C91="","",MAX(0,SUMIFS('CHIT REGISTER (ಮಾಸಿಕ ಚಿಟ್ ನೋಂದಣ'!$D$5:$D$502,'CHIT REGISTER (ಮಾಸಿಕ ಚಿಟ್ ನೋಂದಣ'!$F$5:$F$502,C91,'CHIT REGISTER (ಮಾಸಿಕ ಚಿಟ್ ನೋಂದಣ'!$G$5:$G$502,"UNPAID")-IF(F91="PAID",N(D91),0)))</f>
        <v/>
      </c>
      <c r="F91" s="4"/>
      <c r="G91" s="12"/>
      <c r="H91" s="2"/>
    </row>
    <row r="92" spans="1:8">
      <c r="A92" s="1"/>
      <c r="B92" s="14"/>
      <c r="C92" s="1"/>
      <c r="D92" s="15"/>
      <c r="E92" s="9" t="str">
        <f>IF(C92="","",MAX(0,SUMIFS('CHIT REGISTER (ಮಾಸಿಕ ಚಿಟ್ ನೋಂದಣ'!$D$5:$D$502,'CHIT REGISTER (ಮಾಸಿಕ ಚಿಟ್ ನೋಂದಣ'!$F$5:$F$502,C92,'CHIT REGISTER (ಮಾಸಿಕ ಚಿಟ್ ನೋಂದಣ'!$G$5:$G$502,"UNPAID")-IF(F92="PAID",N(D92),0)))</f>
        <v/>
      </c>
      <c r="F92" s="3"/>
      <c r="G92" s="14"/>
      <c r="H92" s="1"/>
    </row>
    <row r="93" spans="1:8">
      <c r="A93" s="2"/>
      <c r="B93" s="12"/>
      <c r="C93" s="2"/>
      <c r="D93" s="13"/>
      <c r="E93" s="8" t="str">
        <f>IF(C93="","",MAX(0,SUMIFS('CHIT REGISTER (ಮಾಸಿಕ ಚಿಟ್ ನೋಂದಣ'!$D$5:$D$502,'CHIT REGISTER (ಮಾಸಿಕ ಚಿಟ್ ನೋಂದಣ'!$F$5:$F$502,C93,'CHIT REGISTER (ಮಾಸಿಕ ಚಿಟ್ ನೋಂದಣ'!$G$5:$G$502,"UNPAID")-IF(F93="PAID",N(D93),0)))</f>
        <v/>
      </c>
      <c r="F93" s="4"/>
      <c r="G93" s="12"/>
      <c r="H93" s="2"/>
    </row>
    <row r="94" spans="1:8">
      <c r="A94" s="1"/>
      <c r="B94" s="14"/>
      <c r="C94" s="1"/>
      <c r="D94" s="15"/>
      <c r="E94" s="9" t="str">
        <f>IF(C94="","",MAX(0,SUMIFS('CHIT REGISTER (ಮಾಸಿಕ ಚಿಟ್ ನೋಂದಣ'!$D$5:$D$502,'CHIT REGISTER (ಮಾಸಿಕ ಚಿಟ್ ನೋಂದಣ'!$F$5:$F$502,C94,'CHIT REGISTER (ಮಾಸಿಕ ಚಿಟ್ ನೋಂದಣ'!$G$5:$G$502,"UNPAID")-IF(F94="PAID",N(D94),0)))</f>
        <v/>
      </c>
      <c r="F94" s="3"/>
      <c r="G94" s="14"/>
      <c r="H94" s="1"/>
    </row>
    <row r="95" spans="1:8">
      <c r="A95" s="2"/>
      <c r="B95" s="12"/>
      <c r="C95" s="2"/>
      <c r="D95" s="13"/>
      <c r="E95" s="8" t="str">
        <f>IF(C95="","",MAX(0,SUMIFS('CHIT REGISTER (ಮಾಸಿಕ ಚಿಟ್ ನೋಂದಣ'!$D$5:$D$502,'CHIT REGISTER (ಮಾಸಿಕ ಚಿಟ್ ನೋಂದಣ'!$F$5:$F$502,C95,'CHIT REGISTER (ಮಾಸಿಕ ಚಿಟ್ ನೋಂದಣ'!$G$5:$G$502,"UNPAID")-IF(F95="PAID",N(D95),0)))</f>
        <v/>
      </c>
      <c r="F95" s="4"/>
      <c r="G95" s="12"/>
      <c r="H95" s="2"/>
    </row>
    <row r="96" spans="1:8">
      <c r="A96" s="1"/>
      <c r="B96" s="14"/>
      <c r="C96" s="1"/>
      <c r="D96" s="15"/>
      <c r="E96" s="9" t="str">
        <f>IF(C96="","",MAX(0,SUMIFS('CHIT REGISTER (ಮಾಸಿಕ ಚಿಟ್ ನೋಂದಣ'!$D$5:$D$502,'CHIT REGISTER (ಮಾಸಿಕ ಚಿಟ್ ನೋಂದಣ'!$F$5:$F$502,C96,'CHIT REGISTER (ಮಾಸಿಕ ಚಿಟ್ ನೋಂದಣ'!$G$5:$G$502,"UNPAID")-IF(F96="PAID",N(D96),0)))</f>
        <v/>
      </c>
      <c r="F96" s="3"/>
      <c r="G96" s="14"/>
      <c r="H96" s="1"/>
    </row>
    <row r="97" spans="1:8">
      <c r="A97" s="2"/>
      <c r="B97" s="12"/>
      <c r="C97" s="2"/>
      <c r="D97" s="13"/>
      <c r="E97" s="8" t="str">
        <f>IF(C97="","",MAX(0,SUMIFS('CHIT REGISTER (ಮಾಸಿಕ ಚಿಟ್ ನೋಂದಣ'!$D$5:$D$502,'CHIT REGISTER (ಮಾಸಿಕ ಚಿಟ್ ನೋಂದಣ'!$F$5:$F$502,C97,'CHIT REGISTER (ಮಾಸಿಕ ಚಿಟ್ ನೋಂದಣ'!$G$5:$G$502,"UNPAID")-IF(F97="PAID",N(D97),0)))</f>
        <v/>
      </c>
      <c r="F97" s="4"/>
      <c r="G97" s="12"/>
      <c r="H97" s="2"/>
    </row>
    <row r="98" spans="1:8">
      <c r="A98" s="1"/>
      <c r="B98" s="14"/>
      <c r="C98" s="1"/>
      <c r="D98" s="15"/>
      <c r="E98" s="9" t="str">
        <f>IF(C98="","",MAX(0,SUMIFS('CHIT REGISTER (ಮಾಸಿಕ ಚಿಟ್ ನೋಂದಣ'!$D$5:$D$502,'CHIT REGISTER (ಮಾಸಿಕ ಚಿಟ್ ನೋಂದಣ'!$F$5:$F$502,C98,'CHIT REGISTER (ಮಾಸಿಕ ಚಿಟ್ ನೋಂದಣ'!$G$5:$G$502,"UNPAID")-IF(F98="PAID",N(D98),0)))</f>
        <v/>
      </c>
      <c r="F98" s="3"/>
      <c r="G98" s="14"/>
      <c r="H98" s="1"/>
    </row>
    <row r="99" spans="1:8">
      <c r="A99" s="2"/>
      <c r="B99" s="12"/>
      <c r="C99" s="2"/>
      <c r="D99" s="13"/>
      <c r="E99" s="8" t="str">
        <f>IF(C99="","",MAX(0,SUMIFS('CHIT REGISTER (ಮಾಸಿಕ ಚಿಟ್ ನೋಂದಣ'!$D$5:$D$502,'CHIT REGISTER (ಮಾಸಿಕ ಚಿಟ್ ನೋಂದಣ'!$F$5:$F$502,C99,'CHIT REGISTER (ಮಾಸಿಕ ಚಿಟ್ ನೋಂದಣ'!$G$5:$G$502,"UNPAID")-IF(F99="PAID",N(D99),0)))</f>
        <v/>
      </c>
      <c r="F99" s="4"/>
      <c r="G99" s="12"/>
      <c r="H99" s="2"/>
    </row>
    <row r="100" spans="1:8">
      <c r="A100" s="1"/>
      <c r="B100" s="14"/>
      <c r="C100" s="1"/>
      <c r="D100" s="15"/>
      <c r="E100" s="9" t="str">
        <f>IF(C100="","",MAX(0,SUMIFS('CHIT REGISTER (ಮಾಸಿಕ ಚಿಟ್ ನೋಂದಣ'!$D$5:$D$502,'CHIT REGISTER (ಮಾಸಿಕ ಚಿಟ್ ನೋಂದಣ'!$F$5:$F$502,C100,'CHIT REGISTER (ಮಾಸಿಕ ಚಿಟ್ ನೋಂದಣ'!$G$5:$G$502,"UNPAID")-IF(F100="PAID",N(D100),0)))</f>
        <v/>
      </c>
      <c r="F100" s="3"/>
      <c r="G100" s="14"/>
      <c r="H100" s="1"/>
    </row>
    <row r="101" spans="1:8">
      <c r="A101" s="2"/>
      <c r="B101" s="12"/>
      <c r="C101" s="2"/>
      <c r="D101" s="13"/>
      <c r="E101" s="8" t="str">
        <f>IF(C101="","",MAX(0,SUMIFS('CHIT REGISTER (ಮಾಸಿಕ ಚಿಟ್ ನೋಂದಣ'!$D$5:$D$502,'CHIT REGISTER (ಮಾಸಿಕ ಚಿಟ್ ನೋಂದಣ'!$F$5:$F$502,C101,'CHIT REGISTER (ಮಾಸಿಕ ಚಿಟ್ ನೋಂದಣ'!$G$5:$G$502,"UNPAID")-IF(F101="PAID",N(D101),0)))</f>
        <v/>
      </c>
      <c r="F101" s="4"/>
      <c r="G101" s="12"/>
      <c r="H101" s="2"/>
    </row>
    <row r="102" spans="1:8">
      <c r="A102" s="1"/>
      <c r="B102" s="14"/>
      <c r="C102" s="1"/>
      <c r="D102" s="15"/>
      <c r="E102" s="9" t="str">
        <f>IF(C102="","",MAX(0,SUMIFS('CHIT REGISTER (ಮಾಸಿಕ ಚಿಟ್ ನೋಂದಣ'!$D$5:$D$502,'CHIT REGISTER (ಮಾಸಿಕ ಚಿಟ್ ನೋಂದಣ'!$F$5:$F$502,C102,'CHIT REGISTER (ಮಾಸಿಕ ಚಿಟ್ ನೋಂದಣ'!$G$5:$G$502,"UNPAID")-IF(F102="PAID",N(D102),0)))</f>
        <v/>
      </c>
      <c r="F102" s="3"/>
      <c r="G102" s="14"/>
      <c r="H102" s="1"/>
    </row>
    <row r="103" spans="1:8">
      <c r="A103" s="2"/>
      <c r="B103" s="12"/>
      <c r="C103" s="2"/>
      <c r="D103" s="13"/>
      <c r="E103" s="8" t="str">
        <f>IF(C103="","",MAX(0,SUMIFS('CHIT REGISTER (ಮಾಸಿಕ ಚಿಟ್ ನೋಂದಣ'!$D$5:$D$502,'CHIT REGISTER (ಮಾಸಿಕ ಚಿಟ್ ನೋಂದಣ'!$F$5:$F$502,C103,'CHIT REGISTER (ಮಾಸಿಕ ಚಿಟ್ ನೋಂದಣ'!$G$5:$G$502,"UNPAID")-IF(F103="PAID",N(D103),0)))</f>
        <v/>
      </c>
      <c r="F103" s="4"/>
      <c r="G103" s="12"/>
      <c r="H103" s="2"/>
    </row>
    <row r="104" spans="1:8">
      <c r="A104" s="1"/>
      <c r="B104" s="14"/>
      <c r="C104" s="1"/>
      <c r="D104" s="15"/>
      <c r="E104" s="9" t="str">
        <f>IF(C104="","",MAX(0,SUMIFS('CHIT REGISTER (ಮಾಸಿಕ ಚಿಟ್ ನೋಂದಣ'!$D$5:$D$502,'CHIT REGISTER (ಮಾಸಿಕ ಚಿಟ್ ನೋಂದಣ'!$F$5:$F$502,C104,'CHIT REGISTER (ಮಾಸಿಕ ಚಿಟ್ ನೋಂದಣ'!$G$5:$G$502,"UNPAID")-IF(F104="PAID",N(D104),0)))</f>
        <v/>
      </c>
      <c r="F104" s="3"/>
      <c r="G104" s="14"/>
      <c r="H104" s="1"/>
    </row>
    <row r="105" spans="1:8">
      <c r="A105" s="2"/>
      <c r="B105" s="12"/>
      <c r="C105" s="2"/>
      <c r="D105" s="13"/>
      <c r="E105" s="8" t="str">
        <f>IF(C105="","",MAX(0,SUMIFS('CHIT REGISTER (ಮಾಸಿಕ ಚಿಟ್ ನೋಂದಣ'!$D$5:$D$502,'CHIT REGISTER (ಮಾಸಿಕ ಚಿಟ್ ನೋಂದಣ'!$F$5:$F$502,C105,'CHIT REGISTER (ಮಾಸಿಕ ಚಿಟ್ ನೋಂದಣ'!$G$5:$G$502,"UNPAID")-IF(F105="PAID",N(D105),0)))</f>
        <v/>
      </c>
      <c r="F105" s="4"/>
      <c r="G105" s="12"/>
      <c r="H105" s="2"/>
    </row>
    <row r="106" spans="1:8">
      <c r="A106" s="1"/>
      <c r="B106" s="14"/>
      <c r="C106" s="1"/>
      <c r="D106" s="15"/>
      <c r="E106" s="9" t="str">
        <f>IF(C106="","",MAX(0,SUMIFS('CHIT REGISTER (ಮಾಸಿಕ ಚಿಟ್ ನೋಂದಣ'!$D$5:$D$502,'CHIT REGISTER (ಮಾಸಿಕ ಚಿಟ್ ನೋಂದಣ'!$F$5:$F$502,C106,'CHIT REGISTER (ಮಾಸಿಕ ಚಿಟ್ ನೋಂದಣ'!$G$5:$G$502,"UNPAID")-IF(F106="PAID",N(D106),0)))</f>
        <v/>
      </c>
      <c r="F106" s="3"/>
      <c r="G106" s="14"/>
      <c r="H106" s="1"/>
    </row>
    <row r="107" spans="1:8">
      <c r="A107" s="2"/>
      <c r="B107" s="12"/>
      <c r="C107" s="2"/>
      <c r="D107" s="13"/>
      <c r="E107" s="8" t="str">
        <f>IF(C107="","",MAX(0,SUMIFS('CHIT REGISTER (ಮಾಸಿಕ ಚಿಟ್ ನೋಂದಣ'!$D$5:$D$502,'CHIT REGISTER (ಮಾಸಿಕ ಚಿಟ್ ನೋಂದಣ'!$F$5:$F$502,C107,'CHIT REGISTER (ಮಾಸಿಕ ಚಿಟ್ ನೋಂದಣ'!$G$5:$G$502,"UNPAID")-IF(F107="PAID",N(D107),0)))</f>
        <v/>
      </c>
      <c r="F107" s="4"/>
      <c r="G107" s="12"/>
      <c r="H107" s="2"/>
    </row>
    <row r="108" spans="1:8">
      <c r="A108" s="1"/>
      <c r="B108" s="14"/>
      <c r="C108" s="1"/>
      <c r="D108" s="15"/>
      <c r="E108" s="9" t="str">
        <f>IF(C108="","",MAX(0,SUMIFS('CHIT REGISTER (ಮಾಸಿಕ ಚಿಟ್ ನೋಂದಣ'!$D$5:$D$502,'CHIT REGISTER (ಮಾಸಿಕ ಚಿಟ್ ನೋಂದಣ'!$F$5:$F$502,C108,'CHIT REGISTER (ಮಾಸಿಕ ಚಿಟ್ ನೋಂದಣ'!$G$5:$G$502,"UNPAID")-IF(F108="PAID",N(D108),0)))</f>
        <v/>
      </c>
      <c r="F108" s="3"/>
      <c r="G108" s="14"/>
      <c r="H108" s="1"/>
    </row>
    <row r="109" spans="1:8">
      <c r="A109" s="2"/>
      <c r="B109" s="12"/>
      <c r="C109" s="2"/>
      <c r="D109" s="13"/>
      <c r="E109" s="8" t="str">
        <f>IF(C109="","",MAX(0,SUMIFS('CHIT REGISTER (ಮಾಸಿಕ ಚಿಟ್ ನೋಂದಣ'!$D$5:$D$502,'CHIT REGISTER (ಮಾಸಿಕ ಚಿಟ್ ನೋಂದಣ'!$F$5:$F$502,C109,'CHIT REGISTER (ಮಾಸಿಕ ಚಿಟ್ ನೋಂದಣ'!$G$5:$G$502,"UNPAID")-IF(F109="PAID",N(D109),0)))</f>
        <v/>
      </c>
      <c r="F109" s="4"/>
      <c r="G109" s="12"/>
      <c r="H109" s="2"/>
    </row>
    <row r="110" spans="1:8">
      <c r="A110" s="1"/>
      <c r="B110" s="14"/>
      <c r="C110" s="1"/>
      <c r="D110" s="15"/>
      <c r="E110" s="9" t="str">
        <f>IF(C110="","",MAX(0,SUMIFS('CHIT REGISTER (ಮಾಸಿಕ ಚಿಟ್ ನೋಂದಣ'!$D$5:$D$502,'CHIT REGISTER (ಮಾಸಿಕ ಚಿಟ್ ನೋಂದಣ'!$F$5:$F$502,C110,'CHIT REGISTER (ಮಾಸಿಕ ಚಿಟ್ ನೋಂದಣ'!$G$5:$G$502,"UNPAID")-IF(F110="PAID",N(D110),0)))</f>
        <v/>
      </c>
      <c r="F110" s="3"/>
      <c r="G110" s="14"/>
      <c r="H110" s="1"/>
    </row>
    <row r="111" spans="1:8">
      <c r="A111" s="2"/>
      <c r="B111" s="12"/>
      <c r="C111" s="2"/>
      <c r="D111" s="13"/>
      <c r="E111" s="8" t="str">
        <f>IF(C111="","",MAX(0,SUMIFS('CHIT REGISTER (ಮಾಸಿಕ ಚಿಟ್ ನೋಂದಣ'!$D$5:$D$502,'CHIT REGISTER (ಮಾಸಿಕ ಚಿಟ್ ನೋಂದಣ'!$F$5:$F$502,C111,'CHIT REGISTER (ಮಾಸಿಕ ಚಿಟ್ ನೋಂದಣ'!$G$5:$G$502,"UNPAID")-IF(F111="PAID",N(D111),0)))</f>
        <v/>
      </c>
      <c r="F111" s="4"/>
      <c r="G111" s="12"/>
      <c r="H111" s="2"/>
    </row>
    <row r="112" spans="1:8">
      <c r="A112" s="1"/>
      <c r="B112" s="14"/>
      <c r="C112" s="1"/>
      <c r="D112" s="15"/>
      <c r="E112" s="9" t="str">
        <f>IF(C112="","",MAX(0,SUMIFS('CHIT REGISTER (ಮಾಸಿಕ ಚಿಟ್ ನೋಂದಣ'!$D$5:$D$502,'CHIT REGISTER (ಮಾಸಿಕ ಚಿಟ್ ನೋಂದಣ'!$F$5:$F$502,C112,'CHIT REGISTER (ಮಾಸಿಕ ಚಿಟ್ ನೋಂದಣ'!$G$5:$G$502,"UNPAID")-IF(F112="PAID",N(D112),0)))</f>
        <v/>
      </c>
      <c r="F112" s="3"/>
      <c r="G112" s="14"/>
      <c r="H112" s="1"/>
    </row>
    <row r="113" spans="1:8">
      <c r="A113" s="2"/>
      <c r="B113" s="12"/>
      <c r="C113" s="2"/>
      <c r="D113" s="13"/>
      <c r="E113" s="8" t="str">
        <f>IF(C113="","",MAX(0,SUMIFS('CHIT REGISTER (ಮಾಸಿಕ ಚಿಟ್ ನೋಂದಣ'!$D$5:$D$502,'CHIT REGISTER (ಮಾಸಿಕ ಚಿಟ್ ನೋಂದಣ'!$F$5:$F$502,C113,'CHIT REGISTER (ಮಾಸಿಕ ಚಿಟ್ ನೋಂದಣ'!$G$5:$G$502,"UNPAID")-IF(F113="PAID",N(D113),0)))</f>
        <v/>
      </c>
      <c r="F113" s="4"/>
      <c r="G113" s="12"/>
      <c r="H113" s="2"/>
    </row>
    <row r="114" spans="1:8">
      <c r="A114" s="1"/>
      <c r="B114" s="14"/>
      <c r="C114" s="1"/>
      <c r="D114" s="15"/>
      <c r="E114" s="9" t="str">
        <f>IF(C114="","",MAX(0,SUMIFS('CHIT REGISTER (ಮಾಸಿಕ ಚಿಟ್ ನೋಂದಣ'!$D$5:$D$502,'CHIT REGISTER (ಮಾಸಿಕ ಚಿಟ್ ನೋಂದಣ'!$F$5:$F$502,C114,'CHIT REGISTER (ಮಾಸಿಕ ಚಿಟ್ ನೋಂದಣ'!$G$5:$G$502,"UNPAID")-IF(F114="PAID",N(D114),0)))</f>
        <v/>
      </c>
      <c r="F114" s="3"/>
      <c r="G114" s="14"/>
      <c r="H114" s="1"/>
    </row>
    <row r="115" spans="1:8">
      <c r="A115" s="2"/>
      <c r="B115" s="12"/>
      <c r="C115" s="2"/>
      <c r="D115" s="13"/>
      <c r="E115" s="8" t="str">
        <f>IF(C115="","",MAX(0,SUMIFS('CHIT REGISTER (ಮಾಸಿಕ ಚಿಟ್ ನೋಂದಣ'!$D$5:$D$502,'CHIT REGISTER (ಮಾಸಿಕ ಚಿಟ್ ನೋಂದಣ'!$F$5:$F$502,C115,'CHIT REGISTER (ಮಾಸಿಕ ಚಿಟ್ ನೋಂದಣ'!$G$5:$G$502,"UNPAID")-IF(F115="PAID",N(D115),0)))</f>
        <v/>
      </c>
      <c r="F115" s="4"/>
      <c r="G115" s="12"/>
      <c r="H115" s="2"/>
    </row>
    <row r="116" spans="1:8">
      <c r="A116" s="1"/>
      <c r="B116" s="14"/>
      <c r="C116" s="1"/>
      <c r="D116" s="15"/>
      <c r="E116" s="9" t="str">
        <f>IF(C116="","",MAX(0,SUMIFS('CHIT REGISTER (ಮಾಸಿಕ ಚಿಟ್ ನೋಂದಣ'!$D$5:$D$502,'CHIT REGISTER (ಮಾಸಿಕ ಚಿಟ್ ನೋಂದಣ'!$F$5:$F$502,C116,'CHIT REGISTER (ಮಾಸಿಕ ಚಿಟ್ ನೋಂದಣ'!$G$5:$G$502,"UNPAID")-IF(F116="PAID",N(D116),0)))</f>
        <v/>
      </c>
      <c r="F116" s="3"/>
      <c r="G116" s="14"/>
      <c r="H116" s="1"/>
    </row>
    <row r="117" spans="1:8">
      <c r="A117" s="2"/>
      <c r="B117" s="12"/>
      <c r="C117" s="2"/>
      <c r="D117" s="13"/>
      <c r="E117" s="8" t="str">
        <f>IF(C117="","",MAX(0,SUMIFS('CHIT REGISTER (ಮಾಸಿಕ ಚಿಟ್ ನೋಂದಣ'!$D$5:$D$502,'CHIT REGISTER (ಮಾಸಿಕ ಚಿಟ್ ನೋಂದಣ'!$F$5:$F$502,C117,'CHIT REGISTER (ಮಾಸಿಕ ಚಿಟ್ ನೋಂದಣ'!$G$5:$G$502,"UNPAID")-IF(F117="PAID",N(D117),0)))</f>
        <v/>
      </c>
      <c r="F117" s="4"/>
      <c r="G117" s="12"/>
      <c r="H117" s="2"/>
    </row>
    <row r="118" spans="1:8">
      <c r="A118" s="1"/>
      <c r="B118" s="14"/>
      <c r="C118" s="1"/>
      <c r="D118" s="15"/>
      <c r="E118" s="9" t="str">
        <f>IF(C118="","",MAX(0,SUMIFS('CHIT REGISTER (ಮಾಸಿಕ ಚಿಟ್ ನೋಂದಣ'!$D$5:$D$502,'CHIT REGISTER (ಮಾಸಿಕ ಚಿಟ್ ನೋಂದಣ'!$F$5:$F$502,C118,'CHIT REGISTER (ಮಾಸಿಕ ಚಿಟ್ ನೋಂದಣ'!$G$5:$G$502,"UNPAID")-IF(F118="PAID",N(D118),0)))</f>
        <v/>
      </c>
      <c r="F118" s="3"/>
      <c r="G118" s="14"/>
      <c r="H118" s="1"/>
    </row>
    <row r="119" spans="1:8">
      <c r="A119" s="2"/>
      <c r="B119" s="12"/>
      <c r="C119" s="2"/>
      <c r="D119" s="13"/>
      <c r="E119" s="8" t="str">
        <f>IF(C119="","",MAX(0,SUMIFS('CHIT REGISTER (ಮಾಸಿಕ ಚಿಟ್ ನೋಂದಣ'!$D$5:$D$502,'CHIT REGISTER (ಮಾಸಿಕ ಚಿಟ್ ನೋಂದಣ'!$F$5:$F$502,C119,'CHIT REGISTER (ಮಾಸಿಕ ಚಿಟ್ ನೋಂದಣ'!$G$5:$G$502,"UNPAID")-IF(F119="PAID",N(D119),0)))</f>
        <v/>
      </c>
      <c r="F119" s="4"/>
      <c r="G119" s="12"/>
      <c r="H119" s="2"/>
    </row>
    <row r="120" spans="1:8">
      <c r="A120" s="1"/>
      <c r="B120" s="14"/>
      <c r="C120" s="1"/>
      <c r="D120" s="15"/>
      <c r="E120" s="9" t="str">
        <f>IF(C120="","",MAX(0,SUMIFS('CHIT REGISTER (ಮಾಸಿಕ ಚಿಟ್ ನೋಂದಣ'!$D$5:$D$502,'CHIT REGISTER (ಮಾಸಿಕ ಚಿಟ್ ನೋಂದಣ'!$F$5:$F$502,C120,'CHIT REGISTER (ಮಾಸಿಕ ಚಿಟ್ ನೋಂದಣ'!$G$5:$G$502,"UNPAID")-IF(F120="PAID",N(D120),0)))</f>
        <v/>
      </c>
      <c r="F120" s="3"/>
      <c r="G120" s="14"/>
      <c r="H120" s="1"/>
    </row>
    <row r="121" spans="1:8">
      <c r="A121" s="2"/>
      <c r="B121" s="12"/>
      <c r="C121" s="2"/>
      <c r="D121" s="13"/>
      <c r="E121" s="8" t="str">
        <f>IF(C121="","",MAX(0,SUMIFS('CHIT REGISTER (ಮಾಸಿಕ ಚಿಟ್ ನೋಂದಣ'!$D$5:$D$502,'CHIT REGISTER (ಮಾಸಿಕ ಚಿಟ್ ನೋಂದಣ'!$F$5:$F$502,C121,'CHIT REGISTER (ಮಾಸಿಕ ಚಿಟ್ ನೋಂದಣ'!$G$5:$G$502,"UNPAID")-IF(F121="PAID",N(D121),0)))</f>
        <v/>
      </c>
      <c r="F121" s="4"/>
      <c r="G121" s="12"/>
      <c r="H121" s="2"/>
    </row>
    <row r="122" spans="1:8">
      <c r="A122" s="1"/>
      <c r="B122" s="14"/>
      <c r="C122" s="1"/>
      <c r="D122" s="15"/>
      <c r="E122" s="9" t="str">
        <f>IF(C122="","",MAX(0,SUMIFS('CHIT REGISTER (ಮಾಸಿಕ ಚಿಟ್ ನೋಂದಣ'!$D$5:$D$502,'CHIT REGISTER (ಮಾಸಿಕ ಚಿಟ್ ನೋಂದಣ'!$F$5:$F$502,C122,'CHIT REGISTER (ಮಾಸಿಕ ಚಿಟ್ ನೋಂದಣ'!$G$5:$G$502,"UNPAID")-IF(F122="PAID",N(D122),0)))</f>
        <v/>
      </c>
      <c r="F122" s="3"/>
      <c r="G122" s="14"/>
      <c r="H122" s="1"/>
    </row>
    <row r="123" spans="1:8">
      <c r="A123" s="2"/>
      <c r="B123" s="12"/>
      <c r="C123" s="2"/>
      <c r="D123" s="13"/>
      <c r="E123" s="8" t="str">
        <f>IF(C123="","",MAX(0,SUMIFS('CHIT REGISTER (ಮಾಸಿಕ ಚಿಟ್ ನೋಂದಣ'!$D$5:$D$502,'CHIT REGISTER (ಮಾಸಿಕ ಚಿಟ್ ನೋಂದಣ'!$F$5:$F$502,C123,'CHIT REGISTER (ಮಾಸಿಕ ಚಿಟ್ ನೋಂದಣ'!$G$5:$G$502,"UNPAID")-IF(F123="PAID",N(D123),0)))</f>
        <v/>
      </c>
      <c r="F123" s="4"/>
      <c r="G123" s="12"/>
      <c r="H123" s="2"/>
    </row>
    <row r="124" spans="1:8">
      <c r="A124" s="1"/>
      <c r="B124" s="14"/>
      <c r="C124" s="1"/>
      <c r="D124" s="15"/>
      <c r="E124" s="9" t="str">
        <f>IF(C124="","",MAX(0,SUMIFS('CHIT REGISTER (ಮಾಸಿಕ ಚಿಟ್ ನೋಂದಣ'!$D$5:$D$502,'CHIT REGISTER (ಮಾಸಿಕ ಚಿಟ್ ನೋಂದಣ'!$F$5:$F$502,C124,'CHIT REGISTER (ಮಾಸಿಕ ಚಿಟ್ ನೋಂದಣ'!$G$5:$G$502,"UNPAID")-IF(F124="PAID",N(D124),0)))</f>
        <v/>
      </c>
      <c r="F124" s="3"/>
      <c r="G124" s="14"/>
      <c r="H124" s="1"/>
    </row>
    <row r="125" spans="1:8">
      <c r="A125" s="2"/>
      <c r="B125" s="12"/>
      <c r="C125" s="2"/>
      <c r="D125" s="13"/>
      <c r="E125" s="8" t="str">
        <f>IF(C125="","",MAX(0,SUMIFS('CHIT REGISTER (ಮಾಸಿಕ ಚಿಟ್ ನೋಂದಣ'!$D$5:$D$502,'CHIT REGISTER (ಮಾಸಿಕ ಚಿಟ್ ನೋಂದಣ'!$F$5:$F$502,C125,'CHIT REGISTER (ಮಾಸಿಕ ಚಿಟ್ ನೋಂದಣ'!$G$5:$G$502,"UNPAID")-IF(F125="PAID",N(D125),0)))</f>
        <v/>
      </c>
      <c r="F125" s="4"/>
      <c r="G125" s="12"/>
      <c r="H125" s="2"/>
    </row>
    <row r="126" spans="1:8">
      <c r="A126" s="1"/>
      <c r="B126" s="14"/>
      <c r="C126" s="1"/>
      <c r="D126" s="15"/>
      <c r="E126" s="9" t="str">
        <f>IF(C126="","",MAX(0,SUMIFS('CHIT REGISTER (ಮಾಸಿಕ ಚಿಟ್ ನೋಂದಣ'!$D$5:$D$502,'CHIT REGISTER (ಮಾಸಿಕ ಚಿಟ್ ನೋಂದಣ'!$F$5:$F$502,C126,'CHIT REGISTER (ಮಾಸಿಕ ಚಿಟ್ ನೋಂದಣ'!$G$5:$G$502,"UNPAID")-IF(F126="PAID",N(D126),0)))</f>
        <v/>
      </c>
      <c r="F126" s="3"/>
      <c r="G126" s="14"/>
      <c r="H126" s="1"/>
    </row>
    <row r="127" spans="1:8">
      <c r="A127" s="2"/>
      <c r="B127" s="12"/>
      <c r="C127" s="2"/>
      <c r="D127" s="13"/>
      <c r="E127" s="8" t="str">
        <f>IF(C127="","",MAX(0,SUMIFS('CHIT REGISTER (ಮಾಸಿಕ ಚಿಟ್ ನೋಂದಣ'!$D$5:$D$502,'CHIT REGISTER (ಮಾಸಿಕ ಚಿಟ್ ನೋಂದಣ'!$F$5:$F$502,C127,'CHIT REGISTER (ಮಾಸಿಕ ಚಿಟ್ ನೋಂದಣ'!$G$5:$G$502,"UNPAID")-IF(F127="PAID",N(D127),0)))</f>
        <v/>
      </c>
      <c r="F127" s="4"/>
      <c r="G127" s="12"/>
      <c r="H127" s="2"/>
    </row>
    <row r="128" spans="1:8">
      <c r="A128" s="1"/>
      <c r="B128" s="14"/>
      <c r="C128" s="1"/>
      <c r="D128" s="15"/>
      <c r="E128" s="9" t="str">
        <f>IF(C128="","",MAX(0,SUMIFS('CHIT REGISTER (ಮಾಸಿಕ ಚಿಟ್ ನೋಂದಣ'!$D$5:$D$502,'CHIT REGISTER (ಮಾಸಿಕ ಚಿಟ್ ನೋಂದಣ'!$F$5:$F$502,C128,'CHIT REGISTER (ಮಾಸಿಕ ಚಿಟ್ ನೋಂದಣ'!$G$5:$G$502,"UNPAID")-IF(F128="PAID",N(D128),0)))</f>
        <v/>
      </c>
      <c r="F128" s="3"/>
      <c r="G128" s="14"/>
      <c r="H128" s="1"/>
    </row>
    <row r="129" spans="1:8">
      <c r="A129" s="2"/>
      <c r="B129" s="12"/>
      <c r="C129" s="2"/>
      <c r="D129" s="13"/>
      <c r="E129" s="8" t="str">
        <f>IF(C129="","",MAX(0,SUMIFS('CHIT REGISTER (ಮಾಸಿಕ ಚಿಟ್ ನೋಂದಣ'!$D$5:$D$502,'CHIT REGISTER (ಮಾಸಿಕ ಚಿಟ್ ನೋಂದಣ'!$F$5:$F$502,C129,'CHIT REGISTER (ಮಾಸಿಕ ಚಿಟ್ ನೋಂದಣ'!$G$5:$G$502,"UNPAID")-IF(F129="PAID",N(D129),0)))</f>
        <v/>
      </c>
      <c r="F129" s="4"/>
      <c r="G129" s="12"/>
      <c r="H129" s="2"/>
    </row>
    <row r="130" spans="1:8">
      <c r="A130" s="1"/>
      <c r="B130" s="14"/>
      <c r="C130" s="1"/>
      <c r="D130" s="15"/>
      <c r="E130" s="9" t="str">
        <f>IF(C130="","",MAX(0,SUMIFS('CHIT REGISTER (ಮಾಸಿಕ ಚಿಟ್ ನೋಂದಣ'!$D$5:$D$502,'CHIT REGISTER (ಮಾಸಿಕ ಚಿಟ್ ನೋಂದಣ'!$F$5:$F$502,C130,'CHIT REGISTER (ಮಾಸಿಕ ಚಿಟ್ ನೋಂದಣ'!$G$5:$G$502,"UNPAID")-IF(F130="PAID",N(D130),0)))</f>
        <v/>
      </c>
      <c r="F130" s="3"/>
      <c r="G130" s="14"/>
      <c r="H130" s="1"/>
    </row>
    <row r="131" spans="1:8">
      <c r="A131" s="2"/>
      <c r="B131" s="12"/>
      <c r="C131" s="2"/>
      <c r="D131" s="13"/>
      <c r="E131" s="8" t="str">
        <f>IF(C131="","",MAX(0,SUMIFS('CHIT REGISTER (ಮಾಸಿಕ ಚಿಟ್ ನೋಂದಣ'!$D$5:$D$502,'CHIT REGISTER (ಮಾಸಿಕ ಚಿಟ್ ನೋಂದಣ'!$F$5:$F$502,C131,'CHIT REGISTER (ಮಾಸಿಕ ಚಿಟ್ ನೋಂದಣ'!$G$5:$G$502,"UNPAID")-IF(F131="PAID",N(D131),0)))</f>
        <v/>
      </c>
      <c r="F131" s="4"/>
      <c r="G131" s="12"/>
      <c r="H131" s="2"/>
    </row>
    <row r="132" spans="1:8">
      <c r="A132" s="1"/>
      <c r="B132" s="14"/>
      <c r="C132" s="1"/>
      <c r="D132" s="15"/>
      <c r="E132" s="9" t="str">
        <f>IF(C132="","",MAX(0,SUMIFS('CHIT REGISTER (ಮಾಸಿಕ ಚಿಟ್ ನೋಂದಣ'!$D$5:$D$502,'CHIT REGISTER (ಮಾಸಿಕ ಚಿಟ್ ನೋಂದಣ'!$F$5:$F$502,C132,'CHIT REGISTER (ಮಾಸಿಕ ಚಿಟ್ ನೋಂದಣ'!$G$5:$G$502,"UNPAID")-IF(F132="PAID",N(D132),0)))</f>
        <v/>
      </c>
      <c r="F132" s="3"/>
      <c r="G132" s="14"/>
      <c r="H132" s="1"/>
    </row>
    <row r="133" spans="1:8">
      <c r="A133" s="2"/>
      <c r="B133" s="12"/>
      <c r="C133" s="2"/>
      <c r="D133" s="13"/>
      <c r="E133" s="8" t="str">
        <f>IF(C133="","",MAX(0,SUMIFS('CHIT REGISTER (ಮಾಸಿಕ ಚಿಟ್ ನೋಂದಣ'!$D$5:$D$502,'CHIT REGISTER (ಮಾಸಿಕ ಚಿಟ್ ನೋಂದಣ'!$F$5:$F$502,C133,'CHIT REGISTER (ಮಾಸಿಕ ಚಿಟ್ ನೋಂದಣ'!$G$5:$G$502,"UNPAID")-IF(F133="PAID",N(D133),0)))</f>
        <v/>
      </c>
      <c r="F133" s="4"/>
      <c r="G133" s="12"/>
      <c r="H133" s="2"/>
    </row>
    <row r="134" spans="1:8">
      <c r="A134" s="1"/>
      <c r="B134" s="14"/>
      <c r="C134" s="1"/>
      <c r="D134" s="15"/>
      <c r="E134" s="9" t="str">
        <f>IF(C134="","",MAX(0,SUMIFS('CHIT REGISTER (ಮಾಸಿಕ ಚಿಟ್ ನೋಂದಣ'!$D$5:$D$502,'CHIT REGISTER (ಮಾಸಿಕ ಚಿಟ್ ನೋಂದಣ'!$F$5:$F$502,C134,'CHIT REGISTER (ಮಾಸಿಕ ಚಿಟ್ ನೋಂದಣ'!$G$5:$G$502,"UNPAID")-IF(F134="PAID",N(D134),0)))</f>
        <v/>
      </c>
      <c r="F134" s="3"/>
      <c r="G134" s="14"/>
      <c r="H134" s="1"/>
    </row>
    <row r="135" spans="1:8">
      <c r="A135" s="2"/>
      <c r="B135" s="12"/>
      <c r="C135" s="2"/>
      <c r="D135" s="13"/>
      <c r="E135" s="8" t="str">
        <f>IF(C135="","",MAX(0,SUMIFS('CHIT REGISTER (ಮಾಸಿಕ ಚಿಟ್ ನೋಂದಣ'!$D$5:$D$502,'CHIT REGISTER (ಮಾಸಿಕ ಚಿಟ್ ನೋಂದಣ'!$F$5:$F$502,C135,'CHIT REGISTER (ಮಾಸಿಕ ಚಿಟ್ ನೋಂದಣ'!$G$5:$G$502,"UNPAID")-IF(F135="PAID",N(D135),0)))</f>
        <v/>
      </c>
      <c r="F135" s="4"/>
      <c r="G135" s="12"/>
      <c r="H135" s="2"/>
    </row>
    <row r="136" spans="1:8">
      <c r="A136" s="1"/>
      <c r="B136" s="14"/>
      <c r="C136" s="1"/>
      <c r="D136" s="15"/>
      <c r="E136" s="9" t="str">
        <f>IF(C136="","",MAX(0,SUMIFS('CHIT REGISTER (ಮಾಸಿಕ ಚಿಟ್ ನೋಂದಣ'!$D$5:$D$502,'CHIT REGISTER (ಮಾಸಿಕ ಚಿಟ್ ನೋಂದಣ'!$F$5:$F$502,C136,'CHIT REGISTER (ಮಾಸಿಕ ಚಿಟ್ ನೋಂದಣ'!$G$5:$G$502,"UNPAID")-IF(F136="PAID",N(D136),0)))</f>
        <v/>
      </c>
      <c r="F136" s="3"/>
      <c r="G136" s="14"/>
      <c r="H136" s="1"/>
    </row>
    <row r="137" spans="1:8">
      <c r="A137" s="2"/>
      <c r="B137" s="12"/>
      <c r="C137" s="2"/>
      <c r="D137" s="13"/>
      <c r="E137" s="8" t="str">
        <f>IF(C137="","",MAX(0,SUMIFS('CHIT REGISTER (ಮಾಸಿಕ ಚಿಟ್ ನೋಂದಣ'!$D$5:$D$502,'CHIT REGISTER (ಮಾಸಿಕ ಚಿಟ್ ನೋಂದಣ'!$F$5:$F$502,C137,'CHIT REGISTER (ಮಾಸಿಕ ಚಿಟ್ ನೋಂದಣ'!$G$5:$G$502,"UNPAID")-IF(F137="PAID",N(D137),0)))</f>
        <v/>
      </c>
      <c r="F137" s="4"/>
      <c r="G137" s="12"/>
      <c r="H137" s="2"/>
    </row>
    <row r="138" spans="1:8">
      <c r="A138" s="1"/>
      <c r="B138" s="14"/>
      <c r="C138" s="1"/>
      <c r="D138" s="15"/>
      <c r="E138" s="9" t="str">
        <f>IF(C138="","",MAX(0,SUMIFS('CHIT REGISTER (ಮಾಸಿಕ ಚಿಟ್ ನೋಂದಣ'!$D$5:$D$502,'CHIT REGISTER (ಮಾಸಿಕ ಚಿಟ್ ನೋಂದಣ'!$F$5:$F$502,C138,'CHIT REGISTER (ಮಾಸಿಕ ಚಿಟ್ ನೋಂದಣ'!$G$5:$G$502,"UNPAID")-IF(F138="PAID",N(D138),0)))</f>
        <v/>
      </c>
      <c r="F138" s="3"/>
      <c r="G138" s="14"/>
      <c r="H138" s="1"/>
    </row>
    <row r="139" spans="1:8">
      <c r="A139" s="2"/>
      <c r="B139" s="12"/>
      <c r="C139" s="2"/>
      <c r="D139" s="13"/>
      <c r="E139" s="8" t="str">
        <f>IF(C139="","",MAX(0,SUMIFS('CHIT REGISTER (ಮಾಸಿಕ ಚಿಟ್ ನೋಂದಣ'!$D$5:$D$502,'CHIT REGISTER (ಮಾಸಿಕ ಚಿಟ್ ನೋಂದಣ'!$F$5:$F$502,C139,'CHIT REGISTER (ಮಾಸಿಕ ಚಿಟ್ ನೋಂದಣ'!$G$5:$G$502,"UNPAID")-IF(F139="PAID",N(D139),0)))</f>
        <v/>
      </c>
      <c r="F139" s="4"/>
      <c r="G139" s="12"/>
      <c r="H139" s="2"/>
    </row>
    <row r="140" spans="1:8">
      <c r="A140" s="1"/>
      <c r="B140" s="14"/>
      <c r="C140" s="1"/>
      <c r="D140" s="15"/>
      <c r="E140" s="9" t="str">
        <f>IF(C140="","",MAX(0,SUMIFS('CHIT REGISTER (ಮಾಸಿಕ ಚಿಟ್ ನೋಂದಣ'!$D$5:$D$502,'CHIT REGISTER (ಮಾಸಿಕ ಚಿಟ್ ನೋಂದಣ'!$F$5:$F$502,C140,'CHIT REGISTER (ಮಾಸಿಕ ಚಿಟ್ ನೋಂದಣ'!$G$5:$G$502,"UNPAID")-IF(F140="PAID",N(D140),0)))</f>
        <v/>
      </c>
      <c r="F140" s="3"/>
      <c r="G140" s="14"/>
      <c r="H140" s="1"/>
    </row>
    <row r="141" spans="1:8">
      <c r="A141" s="2"/>
      <c r="B141" s="12"/>
      <c r="C141" s="2"/>
      <c r="D141" s="13"/>
      <c r="E141" s="8" t="str">
        <f>IF(C141="","",MAX(0,SUMIFS('CHIT REGISTER (ಮಾಸಿಕ ಚಿಟ್ ನೋಂದಣ'!$D$5:$D$502,'CHIT REGISTER (ಮಾಸಿಕ ಚಿಟ್ ನೋಂದಣ'!$F$5:$F$502,C141,'CHIT REGISTER (ಮಾಸಿಕ ಚಿಟ್ ನೋಂದಣ'!$G$5:$G$502,"UNPAID")-IF(F141="PAID",N(D141),0)))</f>
        <v/>
      </c>
      <c r="F141" s="4"/>
      <c r="G141" s="12"/>
      <c r="H141" s="2"/>
    </row>
    <row r="142" spans="1:8">
      <c r="A142" s="1"/>
      <c r="B142" s="14"/>
      <c r="C142" s="1"/>
      <c r="D142" s="15"/>
      <c r="E142" s="9" t="str">
        <f>IF(C142="","",MAX(0,SUMIFS('CHIT REGISTER (ಮಾಸಿಕ ಚಿಟ್ ನೋಂದಣ'!$D$5:$D$502,'CHIT REGISTER (ಮಾಸಿಕ ಚಿಟ್ ನೋಂದಣ'!$F$5:$F$502,C142,'CHIT REGISTER (ಮಾಸಿಕ ಚಿಟ್ ನೋಂದಣ'!$G$5:$G$502,"UNPAID")-IF(F142="PAID",N(D142),0)))</f>
        <v/>
      </c>
      <c r="F142" s="3"/>
      <c r="G142" s="14"/>
      <c r="H142" s="1"/>
    </row>
    <row r="143" spans="1:8">
      <c r="A143" s="2"/>
      <c r="B143" s="12"/>
      <c r="C143" s="2"/>
      <c r="D143" s="13"/>
      <c r="E143" s="8" t="str">
        <f>IF(C143="","",MAX(0,SUMIFS('CHIT REGISTER (ಮಾಸಿಕ ಚಿಟ್ ನೋಂದಣ'!$D$5:$D$502,'CHIT REGISTER (ಮಾಸಿಕ ಚಿಟ್ ನೋಂದಣ'!$F$5:$F$502,C143,'CHIT REGISTER (ಮಾಸಿಕ ಚಿಟ್ ನೋಂದಣ'!$G$5:$G$502,"UNPAID")-IF(F143="PAID",N(D143),0)))</f>
        <v/>
      </c>
      <c r="F143" s="4"/>
      <c r="G143" s="12"/>
      <c r="H143" s="2"/>
    </row>
    <row r="144" spans="1:8">
      <c r="A144" s="1"/>
      <c r="B144" s="14"/>
      <c r="C144" s="1"/>
      <c r="D144" s="15"/>
      <c r="E144" s="9" t="str">
        <f>IF(C144="","",MAX(0,SUMIFS('CHIT REGISTER (ಮಾಸಿಕ ಚಿಟ್ ನೋಂದಣ'!$D$5:$D$502,'CHIT REGISTER (ಮಾಸಿಕ ಚಿಟ್ ನೋಂದಣ'!$F$5:$F$502,C144,'CHIT REGISTER (ಮಾಸಿಕ ಚಿಟ್ ನೋಂದಣ'!$G$5:$G$502,"UNPAID")-IF(F144="PAID",N(D144),0)))</f>
        <v/>
      </c>
      <c r="F144" s="3"/>
      <c r="G144" s="14"/>
      <c r="H144" s="1"/>
    </row>
    <row r="145" spans="1:8">
      <c r="A145" s="2"/>
      <c r="B145" s="12"/>
      <c r="C145" s="2"/>
      <c r="D145" s="13"/>
      <c r="E145" s="8" t="str">
        <f>IF(C145="","",MAX(0,SUMIFS('CHIT REGISTER (ಮಾಸಿಕ ಚಿಟ್ ನೋಂದಣ'!$D$5:$D$502,'CHIT REGISTER (ಮಾಸಿಕ ಚಿಟ್ ನೋಂದಣ'!$F$5:$F$502,C145,'CHIT REGISTER (ಮಾಸಿಕ ಚಿಟ್ ನೋಂದಣ'!$G$5:$G$502,"UNPAID")-IF(F145="PAID",N(D145),0)))</f>
        <v/>
      </c>
      <c r="F145" s="4"/>
      <c r="G145" s="12"/>
      <c r="H145" s="2"/>
    </row>
    <row r="146" spans="1:8">
      <c r="A146" s="1"/>
      <c r="B146" s="14"/>
      <c r="C146" s="1"/>
      <c r="D146" s="15"/>
      <c r="E146" s="9" t="str">
        <f>IF(C146="","",MAX(0,SUMIFS('CHIT REGISTER (ಮಾಸಿಕ ಚಿಟ್ ನೋಂದಣ'!$D$5:$D$502,'CHIT REGISTER (ಮಾಸಿಕ ಚಿಟ್ ನೋಂದಣ'!$F$5:$F$502,C146,'CHIT REGISTER (ಮಾಸಿಕ ಚಿಟ್ ನೋಂದಣ'!$G$5:$G$502,"UNPAID")-IF(F146="PAID",N(D146),0)))</f>
        <v/>
      </c>
      <c r="F146" s="3"/>
      <c r="G146" s="14"/>
      <c r="H146" s="1"/>
    </row>
    <row r="147" spans="1:8">
      <c r="A147" s="2"/>
      <c r="B147" s="12"/>
      <c r="C147" s="2"/>
      <c r="D147" s="13"/>
      <c r="E147" s="8" t="str">
        <f>IF(C147="","",MAX(0,SUMIFS('CHIT REGISTER (ಮಾಸಿಕ ಚಿಟ್ ನೋಂದಣ'!$D$5:$D$502,'CHIT REGISTER (ಮಾಸಿಕ ಚಿಟ್ ನೋಂದಣ'!$F$5:$F$502,C147,'CHIT REGISTER (ಮಾಸಿಕ ಚಿಟ್ ನೋಂದಣ'!$G$5:$G$502,"UNPAID")-IF(F147="PAID",N(D147),0)))</f>
        <v/>
      </c>
      <c r="F147" s="4"/>
      <c r="G147" s="12"/>
      <c r="H147" s="2"/>
    </row>
    <row r="148" spans="1:8">
      <c r="A148" s="1"/>
      <c r="B148" s="14"/>
      <c r="C148" s="1"/>
      <c r="D148" s="15"/>
      <c r="E148" s="9" t="str">
        <f>IF(C148="","",MAX(0,SUMIFS('CHIT REGISTER (ಮಾಸಿಕ ಚಿಟ್ ನೋಂದಣ'!$D$5:$D$502,'CHIT REGISTER (ಮಾಸಿಕ ಚಿಟ್ ನೋಂದಣ'!$F$5:$F$502,C148,'CHIT REGISTER (ಮಾಸಿಕ ಚಿಟ್ ನೋಂದಣ'!$G$5:$G$502,"UNPAID")-IF(F148="PAID",N(D148),0)))</f>
        <v/>
      </c>
      <c r="F148" s="3"/>
      <c r="G148" s="14"/>
      <c r="H148" s="1"/>
    </row>
    <row r="149" spans="1:8">
      <c r="A149" s="2"/>
      <c r="B149" s="12"/>
      <c r="C149" s="2"/>
      <c r="D149" s="13"/>
      <c r="E149" s="8" t="str">
        <f>IF(C149="","",MAX(0,SUMIFS('CHIT REGISTER (ಮಾಸಿಕ ಚಿಟ್ ನೋಂದಣ'!$D$5:$D$502,'CHIT REGISTER (ಮಾಸಿಕ ಚಿಟ್ ನೋಂದಣ'!$F$5:$F$502,C149,'CHIT REGISTER (ಮಾಸಿಕ ಚಿಟ್ ನೋಂದಣ'!$G$5:$G$502,"UNPAID")-IF(F149="PAID",N(D149),0)))</f>
        <v/>
      </c>
      <c r="F149" s="4"/>
      <c r="G149" s="12"/>
      <c r="H149" s="2"/>
    </row>
    <row r="150" spans="1:8">
      <c r="A150" s="1"/>
      <c r="B150" s="14"/>
      <c r="C150" s="1"/>
      <c r="D150" s="15"/>
      <c r="E150" s="9" t="str">
        <f>IF(C150="","",MAX(0,SUMIFS('CHIT REGISTER (ಮಾಸಿಕ ಚಿಟ್ ನೋಂದಣ'!$D$5:$D$502,'CHIT REGISTER (ಮಾಸಿಕ ಚಿಟ್ ನೋಂದಣ'!$F$5:$F$502,C150,'CHIT REGISTER (ಮಾಸಿಕ ಚಿಟ್ ನೋಂದಣ'!$G$5:$G$502,"UNPAID")-IF(F150="PAID",N(D150),0)))</f>
        <v/>
      </c>
      <c r="F150" s="3"/>
      <c r="G150" s="14"/>
      <c r="H150" s="1"/>
    </row>
    <row r="151" spans="1:8">
      <c r="A151" s="2"/>
      <c r="B151" s="12"/>
      <c r="C151" s="2"/>
      <c r="D151" s="13"/>
      <c r="E151" s="8" t="str">
        <f>IF(C151="","",MAX(0,SUMIFS('CHIT REGISTER (ಮಾಸಿಕ ಚಿಟ್ ನೋಂದಣ'!$D$5:$D$502,'CHIT REGISTER (ಮಾಸಿಕ ಚಿಟ್ ನೋಂದಣ'!$F$5:$F$502,C151,'CHIT REGISTER (ಮಾಸಿಕ ಚಿಟ್ ನೋಂದಣ'!$G$5:$G$502,"UNPAID")-IF(F151="PAID",N(D151),0)))</f>
        <v/>
      </c>
      <c r="F151" s="4"/>
      <c r="G151" s="12"/>
      <c r="H151" s="2"/>
    </row>
    <row r="152" spans="1:8">
      <c r="A152" s="1"/>
      <c r="B152" s="14"/>
      <c r="C152" s="1"/>
      <c r="D152" s="15"/>
      <c r="E152" s="9" t="str">
        <f>IF(C152="","",MAX(0,SUMIFS('CHIT REGISTER (ಮಾಸಿಕ ಚಿಟ್ ನೋಂದಣ'!$D$5:$D$502,'CHIT REGISTER (ಮಾಸಿಕ ಚಿಟ್ ನೋಂದಣ'!$F$5:$F$502,C152,'CHIT REGISTER (ಮಾಸಿಕ ಚಿಟ್ ನೋಂದಣ'!$G$5:$G$502,"UNPAID")-IF(F152="PAID",N(D152),0)))</f>
        <v/>
      </c>
      <c r="F152" s="3"/>
      <c r="G152" s="14"/>
      <c r="H152" s="1"/>
    </row>
    <row r="153" spans="1:8">
      <c r="A153" s="2"/>
      <c r="B153" s="12"/>
      <c r="C153" s="2"/>
      <c r="D153" s="13"/>
      <c r="E153" s="8" t="str">
        <f>IF(C153="","",MAX(0,SUMIFS('CHIT REGISTER (ಮಾಸಿಕ ಚಿಟ್ ನೋಂದಣ'!$D$5:$D$502,'CHIT REGISTER (ಮಾಸಿಕ ಚಿಟ್ ನೋಂದಣ'!$F$5:$F$502,C153,'CHIT REGISTER (ಮಾಸಿಕ ಚಿಟ್ ನೋಂದಣ'!$G$5:$G$502,"UNPAID")-IF(F153="PAID",N(D153),0)))</f>
        <v/>
      </c>
      <c r="F153" s="4"/>
      <c r="G153" s="12"/>
      <c r="H153" s="2"/>
    </row>
    <row r="154" spans="1:8">
      <c r="A154" s="1"/>
      <c r="B154" s="14"/>
      <c r="C154" s="1"/>
      <c r="D154" s="15"/>
      <c r="E154" s="9" t="str">
        <f>IF(C154="","",MAX(0,SUMIFS('CHIT REGISTER (ಮಾಸಿಕ ಚಿಟ್ ನೋಂದಣ'!$D$5:$D$502,'CHIT REGISTER (ಮಾಸಿಕ ಚಿಟ್ ನೋಂದಣ'!$F$5:$F$502,C154,'CHIT REGISTER (ಮಾಸಿಕ ಚಿಟ್ ನೋಂದಣ'!$G$5:$G$502,"UNPAID")-IF(F154="PAID",N(D154),0)))</f>
        <v/>
      </c>
      <c r="F154" s="3"/>
      <c r="G154" s="14"/>
      <c r="H154" s="1"/>
    </row>
    <row r="155" spans="1:8">
      <c r="A155" s="2"/>
      <c r="B155" s="12"/>
      <c r="C155" s="2"/>
      <c r="D155" s="13"/>
      <c r="E155" s="8" t="str">
        <f>IF(C155="","",MAX(0,SUMIFS('CHIT REGISTER (ಮಾಸಿಕ ಚಿಟ್ ನೋಂದಣ'!$D$5:$D$502,'CHIT REGISTER (ಮಾಸಿಕ ಚಿಟ್ ನೋಂದಣ'!$F$5:$F$502,C155,'CHIT REGISTER (ಮಾಸಿಕ ಚಿಟ್ ನೋಂದಣ'!$G$5:$G$502,"UNPAID")-IF(F155="PAID",N(D155),0)))</f>
        <v/>
      </c>
      <c r="F155" s="4"/>
      <c r="G155" s="12"/>
      <c r="H155" s="2"/>
    </row>
    <row r="156" spans="1:8">
      <c r="A156" s="1"/>
      <c r="B156" s="14"/>
      <c r="C156" s="1"/>
      <c r="D156" s="15"/>
      <c r="E156" s="9" t="str">
        <f>IF(C156="","",MAX(0,SUMIFS('CHIT REGISTER (ಮಾಸಿಕ ಚಿಟ್ ನೋಂದಣ'!$D$5:$D$502,'CHIT REGISTER (ಮಾಸಿಕ ಚಿಟ್ ನೋಂದಣ'!$F$5:$F$502,C156,'CHIT REGISTER (ಮಾಸಿಕ ಚಿಟ್ ನೋಂದಣ'!$G$5:$G$502,"UNPAID")-IF(F156="PAID",N(D156),0)))</f>
        <v/>
      </c>
      <c r="F156" s="3"/>
      <c r="G156" s="14"/>
      <c r="H156" s="1"/>
    </row>
    <row r="157" spans="1:8">
      <c r="A157" s="2"/>
      <c r="B157" s="12"/>
      <c r="C157" s="2"/>
      <c r="D157" s="13"/>
      <c r="E157" s="8" t="str">
        <f>IF(C157="","",MAX(0,SUMIFS('CHIT REGISTER (ಮಾಸಿಕ ಚಿಟ್ ನೋಂದಣ'!$D$5:$D$502,'CHIT REGISTER (ಮಾಸಿಕ ಚಿಟ್ ನೋಂದಣ'!$F$5:$F$502,C157,'CHIT REGISTER (ಮಾಸಿಕ ಚಿಟ್ ನೋಂದಣ'!$G$5:$G$502,"UNPAID")-IF(F157="PAID",N(D157),0)))</f>
        <v/>
      </c>
      <c r="F157" s="4"/>
      <c r="G157" s="12"/>
      <c r="H157" s="2"/>
    </row>
    <row r="158" spans="1:8">
      <c r="A158" s="1"/>
      <c r="B158" s="14"/>
      <c r="C158" s="1"/>
      <c r="D158" s="15"/>
      <c r="E158" s="9" t="str">
        <f>IF(C158="","",MAX(0,SUMIFS('CHIT REGISTER (ಮಾಸಿಕ ಚಿಟ್ ನೋಂದಣ'!$D$5:$D$502,'CHIT REGISTER (ಮಾಸಿಕ ಚಿಟ್ ನೋಂದಣ'!$F$5:$F$502,C158,'CHIT REGISTER (ಮಾಸಿಕ ಚಿಟ್ ನೋಂದಣ'!$G$5:$G$502,"UNPAID")-IF(F158="PAID",N(D158),0)))</f>
        <v/>
      </c>
      <c r="F158" s="3"/>
      <c r="G158" s="14"/>
      <c r="H158" s="1"/>
    </row>
    <row r="159" spans="1:8">
      <c r="A159" s="2"/>
      <c r="B159" s="12"/>
      <c r="C159" s="2"/>
      <c r="D159" s="13"/>
      <c r="E159" s="8" t="str">
        <f>IF(C159="","",MAX(0,SUMIFS('CHIT REGISTER (ಮಾಸಿಕ ಚಿಟ್ ನೋಂದಣ'!$D$5:$D$502,'CHIT REGISTER (ಮಾಸಿಕ ಚಿಟ್ ನೋಂದಣ'!$F$5:$F$502,C159,'CHIT REGISTER (ಮಾಸಿಕ ಚಿಟ್ ನೋಂದಣ'!$G$5:$G$502,"UNPAID")-IF(F159="PAID",N(D159),0)))</f>
        <v/>
      </c>
      <c r="F159" s="4"/>
      <c r="G159" s="12"/>
      <c r="H159" s="2"/>
    </row>
    <row r="160" spans="1:8">
      <c r="A160" s="1"/>
      <c r="B160" s="14"/>
      <c r="C160" s="1"/>
      <c r="D160" s="15"/>
      <c r="E160" s="9" t="str">
        <f>IF(C160="","",MAX(0,SUMIFS('CHIT REGISTER (ಮಾಸಿಕ ಚಿಟ್ ನೋಂದಣ'!$D$5:$D$502,'CHIT REGISTER (ಮಾಸಿಕ ಚಿಟ್ ನೋಂದಣ'!$F$5:$F$502,C160,'CHIT REGISTER (ಮಾಸಿಕ ಚಿಟ್ ನೋಂದಣ'!$G$5:$G$502,"UNPAID")-IF(F160="PAID",N(D160),0)))</f>
        <v/>
      </c>
      <c r="F160" s="3"/>
      <c r="G160" s="14"/>
      <c r="H160" s="1"/>
    </row>
    <row r="161" spans="1:8">
      <c r="A161" s="2"/>
      <c r="B161" s="12"/>
      <c r="C161" s="2"/>
      <c r="D161" s="13"/>
      <c r="E161" s="8" t="str">
        <f>IF(C161="","",MAX(0,SUMIFS('CHIT REGISTER (ಮಾಸಿಕ ಚಿಟ್ ನೋಂದಣ'!$D$5:$D$502,'CHIT REGISTER (ಮಾಸಿಕ ಚಿಟ್ ನೋಂದಣ'!$F$5:$F$502,C161,'CHIT REGISTER (ಮಾಸಿಕ ಚಿಟ್ ನೋಂದಣ'!$G$5:$G$502,"UNPAID")-IF(F161="PAID",N(D161),0)))</f>
        <v/>
      </c>
      <c r="F161" s="4"/>
      <c r="G161" s="12"/>
      <c r="H161" s="2"/>
    </row>
    <row r="162" spans="1:8">
      <c r="A162" s="1"/>
      <c r="B162" s="14"/>
      <c r="C162" s="1"/>
      <c r="D162" s="15"/>
      <c r="E162" s="9" t="str">
        <f>IF(C162="","",MAX(0,SUMIFS('CHIT REGISTER (ಮಾಸಿಕ ಚಿಟ್ ನೋಂದಣ'!$D$5:$D$502,'CHIT REGISTER (ಮಾಸಿಕ ಚಿಟ್ ನೋಂದಣ'!$F$5:$F$502,C162,'CHIT REGISTER (ಮಾಸಿಕ ಚಿಟ್ ನೋಂದಣ'!$G$5:$G$502,"UNPAID")-IF(F162="PAID",N(D162),0)))</f>
        <v/>
      </c>
      <c r="F162" s="3"/>
      <c r="G162" s="14"/>
      <c r="H162" s="1"/>
    </row>
    <row r="163" spans="1:8">
      <c r="A163" s="2"/>
      <c r="B163" s="12"/>
      <c r="C163" s="2"/>
      <c r="D163" s="13"/>
      <c r="E163" s="8" t="str">
        <f>IF(C163="","",MAX(0,SUMIFS('CHIT REGISTER (ಮಾಸಿಕ ಚಿಟ್ ನೋಂದಣ'!$D$5:$D$502,'CHIT REGISTER (ಮಾಸಿಕ ಚಿಟ್ ನೋಂದಣ'!$F$5:$F$502,C163,'CHIT REGISTER (ಮಾಸಿಕ ಚಿಟ್ ನೋಂದಣ'!$G$5:$G$502,"UNPAID")-IF(F163="PAID",N(D163),0)))</f>
        <v/>
      </c>
      <c r="F163" s="4"/>
      <c r="G163" s="12"/>
      <c r="H163" s="2"/>
    </row>
    <row r="164" spans="1:8">
      <c r="A164" s="1"/>
      <c r="B164" s="14"/>
      <c r="C164" s="1"/>
      <c r="D164" s="15"/>
      <c r="E164" s="9" t="str">
        <f>IF(C164="","",MAX(0,SUMIFS('CHIT REGISTER (ಮಾಸಿಕ ಚಿಟ್ ನೋಂದಣ'!$D$5:$D$502,'CHIT REGISTER (ಮಾಸಿಕ ಚಿಟ್ ನೋಂದಣ'!$F$5:$F$502,C164,'CHIT REGISTER (ಮಾಸಿಕ ಚಿಟ್ ನೋಂದಣ'!$G$5:$G$502,"UNPAID")-IF(F164="PAID",N(D164),0)))</f>
        <v/>
      </c>
      <c r="F164" s="3"/>
      <c r="G164" s="14"/>
      <c r="H164" s="1"/>
    </row>
    <row r="165" spans="1:8">
      <c r="A165" s="2"/>
      <c r="B165" s="12"/>
      <c r="C165" s="2"/>
      <c r="D165" s="13"/>
      <c r="E165" s="8" t="str">
        <f>IF(C165="","",MAX(0,SUMIFS('CHIT REGISTER (ಮಾಸಿಕ ಚಿಟ್ ನೋಂದಣ'!$D$5:$D$502,'CHIT REGISTER (ಮಾಸಿಕ ಚಿಟ್ ನೋಂದಣ'!$F$5:$F$502,C165,'CHIT REGISTER (ಮಾಸಿಕ ಚಿಟ್ ನೋಂದಣ'!$G$5:$G$502,"UNPAID")-IF(F165="PAID",N(D165),0)))</f>
        <v/>
      </c>
      <c r="F165" s="4"/>
      <c r="G165" s="12"/>
      <c r="H165" s="2"/>
    </row>
    <row r="166" spans="1:8">
      <c r="A166" s="1"/>
      <c r="B166" s="14"/>
      <c r="C166" s="1"/>
      <c r="D166" s="15"/>
      <c r="E166" s="9" t="str">
        <f>IF(C166="","",MAX(0,SUMIFS('CHIT REGISTER (ಮಾಸಿಕ ಚಿಟ್ ನೋಂದಣ'!$D$5:$D$502,'CHIT REGISTER (ಮಾಸಿಕ ಚಿಟ್ ನೋಂದಣ'!$F$5:$F$502,C166,'CHIT REGISTER (ಮಾಸಿಕ ಚಿಟ್ ನೋಂದಣ'!$G$5:$G$502,"UNPAID")-IF(F166="PAID",N(D166),0)))</f>
        <v/>
      </c>
      <c r="F166" s="3"/>
      <c r="G166" s="14"/>
      <c r="H166" s="1"/>
    </row>
    <row r="167" spans="1:8">
      <c r="A167" s="2"/>
      <c r="B167" s="12"/>
      <c r="C167" s="2"/>
      <c r="D167" s="13"/>
      <c r="E167" s="8" t="str">
        <f>IF(C167="","",MAX(0,SUMIFS('CHIT REGISTER (ಮಾಸಿಕ ಚಿಟ್ ನೋಂದಣ'!$D$5:$D$502,'CHIT REGISTER (ಮಾಸಿಕ ಚಿಟ್ ನೋಂದಣ'!$F$5:$F$502,C167,'CHIT REGISTER (ಮಾಸಿಕ ಚಿಟ್ ನೋಂದಣ'!$G$5:$G$502,"UNPAID")-IF(F167="PAID",N(D167),0)))</f>
        <v/>
      </c>
      <c r="F167" s="4"/>
      <c r="G167" s="12"/>
      <c r="H167" s="2"/>
    </row>
    <row r="168" spans="1:8">
      <c r="A168" s="1"/>
      <c r="B168" s="14"/>
      <c r="C168" s="1"/>
      <c r="D168" s="15"/>
      <c r="E168" s="9" t="str">
        <f>IF(C168="","",MAX(0,SUMIFS('CHIT REGISTER (ಮಾಸಿಕ ಚಿಟ್ ನೋಂದಣ'!$D$5:$D$502,'CHIT REGISTER (ಮಾಸಿಕ ಚಿಟ್ ನೋಂದಣ'!$F$5:$F$502,C168,'CHIT REGISTER (ಮಾಸಿಕ ಚಿಟ್ ನೋಂದಣ'!$G$5:$G$502,"UNPAID")-IF(F168="PAID",N(D168),0)))</f>
        <v/>
      </c>
      <c r="F168" s="3"/>
      <c r="G168" s="14"/>
      <c r="H168" s="1"/>
    </row>
    <row r="169" spans="1:8">
      <c r="A169" s="2"/>
      <c r="B169" s="12"/>
      <c r="C169" s="2"/>
      <c r="D169" s="13"/>
      <c r="E169" s="8" t="str">
        <f>IF(C169="","",MAX(0,SUMIFS('CHIT REGISTER (ಮಾಸಿಕ ಚಿಟ್ ನೋಂದಣ'!$D$5:$D$502,'CHIT REGISTER (ಮಾಸಿಕ ಚಿಟ್ ನೋಂದಣ'!$F$5:$F$502,C169,'CHIT REGISTER (ಮಾಸಿಕ ಚಿಟ್ ನೋಂದಣ'!$G$5:$G$502,"UNPAID")-IF(F169="PAID",N(D169),0)))</f>
        <v/>
      </c>
      <c r="F169" s="4"/>
      <c r="G169" s="12"/>
      <c r="H169" s="2"/>
    </row>
    <row r="170" spans="1:8">
      <c r="A170" s="1"/>
      <c r="B170" s="14"/>
      <c r="C170" s="1"/>
      <c r="D170" s="15"/>
      <c r="E170" s="9" t="str">
        <f>IF(C170="","",MAX(0,SUMIFS('CHIT REGISTER (ಮಾಸಿಕ ಚಿಟ್ ನೋಂದಣ'!$D$5:$D$502,'CHIT REGISTER (ಮಾಸಿಕ ಚಿಟ್ ನೋಂದಣ'!$F$5:$F$502,C170,'CHIT REGISTER (ಮಾಸಿಕ ಚಿಟ್ ನೋಂದಣ'!$G$5:$G$502,"UNPAID")-IF(F170="PAID",N(D170),0)))</f>
        <v/>
      </c>
      <c r="F170" s="3"/>
      <c r="G170" s="14"/>
      <c r="H170" s="1"/>
    </row>
    <row r="171" spans="1:8">
      <c r="A171" s="2"/>
      <c r="B171" s="12"/>
      <c r="C171" s="2"/>
      <c r="D171" s="13"/>
      <c r="E171" s="8" t="str">
        <f>IF(C171="","",MAX(0,SUMIFS('CHIT REGISTER (ಮಾಸಿಕ ಚಿಟ್ ನೋಂದಣ'!$D$5:$D$502,'CHIT REGISTER (ಮಾಸಿಕ ಚಿಟ್ ನೋಂದಣ'!$F$5:$F$502,C171,'CHIT REGISTER (ಮಾಸಿಕ ಚಿಟ್ ನೋಂದಣ'!$G$5:$G$502,"UNPAID")-IF(F171="PAID",N(D171),0)))</f>
        <v/>
      </c>
      <c r="F171" s="4"/>
      <c r="G171" s="12"/>
      <c r="H171" s="2"/>
    </row>
    <row r="172" spans="1:8">
      <c r="A172" s="1"/>
      <c r="B172" s="14"/>
      <c r="C172" s="1"/>
      <c r="D172" s="15"/>
      <c r="E172" s="9" t="str">
        <f>IF(C172="","",MAX(0,SUMIFS('CHIT REGISTER (ಮಾಸಿಕ ಚಿಟ್ ನೋಂದಣ'!$D$5:$D$502,'CHIT REGISTER (ಮಾಸಿಕ ಚಿಟ್ ನೋಂದಣ'!$F$5:$F$502,C172,'CHIT REGISTER (ಮಾಸಿಕ ಚಿಟ್ ನೋಂದಣ'!$G$5:$G$502,"UNPAID")-IF(F172="PAID",N(D172),0)))</f>
        <v/>
      </c>
      <c r="F172" s="3"/>
      <c r="G172" s="14"/>
      <c r="H172" s="1"/>
    </row>
    <row r="173" spans="1:8">
      <c r="A173" s="2"/>
      <c r="B173" s="12"/>
      <c r="C173" s="2"/>
      <c r="D173" s="13"/>
      <c r="E173" s="8" t="str">
        <f>IF(C173="","",MAX(0,SUMIFS('CHIT REGISTER (ಮಾಸಿಕ ಚಿಟ್ ನೋಂದಣ'!$D$5:$D$502,'CHIT REGISTER (ಮಾಸಿಕ ಚಿಟ್ ನೋಂದಣ'!$F$5:$F$502,C173,'CHIT REGISTER (ಮಾಸಿಕ ಚಿಟ್ ನೋಂದಣ'!$G$5:$G$502,"UNPAID")-IF(F173="PAID",N(D173),0)))</f>
        <v/>
      </c>
      <c r="F173" s="4"/>
      <c r="G173" s="12"/>
      <c r="H173" s="2"/>
    </row>
    <row r="174" spans="1:8">
      <c r="A174" s="1"/>
      <c r="B174" s="14"/>
      <c r="C174" s="1"/>
      <c r="D174" s="15"/>
      <c r="E174" s="9" t="str">
        <f>IF(C174="","",MAX(0,SUMIFS('CHIT REGISTER (ಮಾಸಿಕ ಚಿಟ್ ನೋಂದಣ'!$D$5:$D$502,'CHIT REGISTER (ಮಾಸಿಕ ಚಿಟ್ ನೋಂದಣ'!$F$5:$F$502,C174,'CHIT REGISTER (ಮಾಸಿಕ ಚಿಟ್ ನೋಂದಣ'!$G$5:$G$502,"UNPAID")-IF(F174="PAID",N(D174),0)))</f>
        <v/>
      </c>
      <c r="F174" s="3"/>
      <c r="G174" s="14"/>
      <c r="H174" s="1"/>
    </row>
    <row r="175" spans="1:8">
      <c r="A175" s="2"/>
      <c r="B175" s="12"/>
      <c r="C175" s="2"/>
      <c r="D175" s="13"/>
      <c r="E175" s="8" t="str">
        <f>IF(C175="","",MAX(0,SUMIFS('CHIT REGISTER (ಮಾಸಿಕ ಚಿಟ್ ನೋಂದಣ'!$D$5:$D$502,'CHIT REGISTER (ಮಾಸಿಕ ಚಿಟ್ ನೋಂದಣ'!$F$5:$F$502,C175,'CHIT REGISTER (ಮಾಸಿಕ ಚಿಟ್ ನೋಂದಣ'!$G$5:$G$502,"UNPAID")-IF(F175="PAID",N(D175),0)))</f>
        <v/>
      </c>
      <c r="F175" s="4"/>
      <c r="G175" s="12"/>
      <c r="H175" s="2"/>
    </row>
    <row r="176" spans="1:8">
      <c r="A176" s="1"/>
      <c r="B176" s="14"/>
      <c r="C176" s="1"/>
      <c r="D176" s="15"/>
      <c r="E176" s="9" t="str">
        <f>IF(C176="","",MAX(0,SUMIFS('CHIT REGISTER (ಮಾಸಿಕ ಚಿಟ್ ನೋಂದಣ'!$D$5:$D$502,'CHIT REGISTER (ಮಾಸಿಕ ಚಿಟ್ ನೋಂದಣ'!$F$5:$F$502,C176,'CHIT REGISTER (ಮಾಸಿಕ ಚಿಟ್ ನೋಂದಣ'!$G$5:$G$502,"UNPAID")-IF(F176="PAID",N(D176),0)))</f>
        <v/>
      </c>
      <c r="F176" s="3"/>
      <c r="G176" s="14"/>
      <c r="H176" s="1"/>
    </row>
    <row r="177" spans="1:8">
      <c r="A177" s="2"/>
      <c r="B177" s="12"/>
      <c r="C177" s="2"/>
      <c r="D177" s="13"/>
      <c r="E177" s="8" t="str">
        <f>IF(C177="","",MAX(0,SUMIFS('CHIT REGISTER (ಮಾಸಿಕ ಚಿಟ್ ನೋಂದಣ'!$D$5:$D$502,'CHIT REGISTER (ಮಾಸಿಕ ಚಿಟ್ ನೋಂದಣ'!$F$5:$F$502,C177,'CHIT REGISTER (ಮಾಸಿಕ ಚಿಟ್ ನೋಂದಣ'!$G$5:$G$502,"UNPAID")-IF(F177="PAID",N(D177),0)))</f>
        <v/>
      </c>
      <c r="F177" s="4"/>
      <c r="G177" s="12"/>
      <c r="H177" s="2"/>
    </row>
    <row r="178" spans="1:8">
      <c r="A178" s="1"/>
      <c r="B178" s="14"/>
      <c r="C178" s="1"/>
      <c r="D178" s="15"/>
      <c r="E178" s="9" t="str">
        <f>IF(C178="","",MAX(0,SUMIFS('CHIT REGISTER (ಮಾಸಿಕ ಚಿಟ್ ನೋಂದಣ'!$D$5:$D$502,'CHIT REGISTER (ಮಾಸಿಕ ಚಿಟ್ ನೋಂದಣ'!$F$5:$F$502,C178,'CHIT REGISTER (ಮಾಸಿಕ ಚಿಟ್ ನೋಂದಣ'!$G$5:$G$502,"UNPAID")-IF(F178="PAID",N(D178),0)))</f>
        <v/>
      </c>
      <c r="F178" s="3"/>
      <c r="G178" s="14"/>
      <c r="H178" s="1"/>
    </row>
    <row r="179" spans="1:8">
      <c r="A179" s="2"/>
      <c r="B179" s="12"/>
      <c r="C179" s="2"/>
      <c r="D179" s="13"/>
      <c r="E179" s="8" t="str">
        <f>IF(C179="","",MAX(0,SUMIFS('CHIT REGISTER (ಮಾಸಿಕ ಚಿಟ್ ನೋಂದಣ'!$D$5:$D$502,'CHIT REGISTER (ಮಾಸಿಕ ಚಿಟ್ ನೋಂದಣ'!$F$5:$F$502,C179,'CHIT REGISTER (ಮಾಸಿಕ ಚಿಟ್ ನೋಂದಣ'!$G$5:$G$502,"UNPAID")-IF(F179="PAID",N(D179),0)))</f>
        <v/>
      </c>
      <c r="F179" s="4"/>
      <c r="G179" s="12"/>
      <c r="H179" s="2"/>
    </row>
    <row r="180" spans="1:8">
      <c r="A180" s="1"/>
      <c r="B180" s="14"/>
      <c r="C180" s="1"/>
      <c r="D180" s="15"/>
      <c r="E180" s="9" t="str">
        <f>IF(C180="","",MAX(0,SUMIFS('CHIT REGISTER (ಮಾಸಿಕ ಚಿಟ್ ನೋಂದಣ'!$D$5:$D$502,'CHIT REGISTER (ಮಾಸಿಕ ಚಿಟ್ ನೋಂದಣ'!$F$5:$F$502,C180,'CHIT REGISTER (ಮಾಸಿಕ ಚಿಟ್ ನೋಂದಣ'!$G$5:$G$502,"UNPAID")-IF(F180="PAID",N(D180),0)))</f>
        <v/>
      </c>
      <c r="F180" s="3"/>
      <c r="G180" s="14"/>
      <c r="H180" s="1"/>
    </row>
    <row r="181" spans="1:8">
      <c r="A181" s="2"/>
      <c r="B181" s="12"/>
      <c r="C181" s="2"/>
      <c r="D181" s="13"/>
      <c r="E181" s="8" t="str">
        <f>IF(C181="","",MAX(0,SUMIFS('CHIT REGISTER (ಮಾಸಿಕ ಚಿಟ್ ನೋಂದಣ'!$D$5:$D$502,'CHIT REGISTER (ಮಾಸಿಕ ಚಿಟ್ ನೋಂದಣ'!$F$5:$F$502,C181,'CHIT REGISTER (ಮಾಸಿಕ ಚಿಟ್ ನೋಂದಣ'!$G$5:$G$502,"UNPAID")-IF(F181="PAID",N(D181),0)))</f>
        <v/>
      </c>
      <c r="F181" s="4"/>
      <c r="G181" s="12"/>
      <c r="H181" s="2"/>
    </row>
    <row r="182" spans="1:8">
      <c r="A182" s="1"/>
      <c r="B182" s="14"/>
      <c r="C182" s="1"/>
      <c r="D182" s="15"/>
      <c r="E182" s="9" t="str">
        <f>IF(C182="","",MAX(0,SUMIFS('CHIT REGISTER (ಮಾಸಿಕ ಚಿಟ್ ನೋಂದಣ'!$D$5:$D$502,'CHIT REGISTER (ಮಾಸಿಕ ಚಿಟ್ ನೋಂದಣ'!$F$5:$F$502,C182,'CHIT REGISTER (ಮಾಸಿಕ ಚಿಟ್ ನೋಂದಣ'!$G$5:$G$502,"UNPAID")-IF(F182="PAID",N(D182),0)))</f>
        <v/>
      </c>
      <c r="F182" s="3"/>
      <c r="G182" s="14"/>
      <c r="H182" s="1"/>
    </row>
    <row r="183" spans="1:8">
      <c r="A183" s="2"/>
      <c r="B183" s="12"/>
      <c r="C183" s="2"/>
      <c r="D183" s="13"/>
      <c r="E183" s="8" t="str">
        <f>IF(C183="","",MAX(0,SUMIFS('CHIT REGISTER (ಮಾಸಿಕ ಚಿಟ್ ನೋಂದಣ'!$D$5:$D$502,'CHIT REGISTER (ಮಾಸಿಕ ಚಿಟ್ ನೋಂದಣ'!$F$5:$F$502,C183,'CHIT REGISTER (ಮಾಸಿಕ ಚಿಟ್ ನೋಂದಣ'!$G$5:$G$502,"UNPAID")-IF(F183="PAID",N(D183),0)))</f>
        <v/>
      </c>
      <c r="F183" s="4"/>
      <c r="G183" s="12"/>
      <c r="H183" s="2"/>
    </row>
    <row r="184" spans="1:8">
      <c r="A184" s="1"/>
      <c r="B184" s="14"/>
      <c r="C184" s="1"/>
      <c r="D184" s="15"/>
      <c r="E184" s="9" t="str">
        <f>IF(C184="","",MAX(0,SUMIFS('CHIT REGISTER (ಮಾಸಿಕ ಚಿಟ್ ನೋಂದಣ'!$D$5:$D$502,'CHIT REGISTER (ಮಾಸಿಕ ಚಿಟ್ ನೋಂದಣ'!$F$5:$F$502,C184,'CHIT REGISTER (ಮಾಸಿಕ ಚಿಟ್ ನೋಂದಣ'!$G$5:$G$502,"UNPAID")-IF(F184="PAID",N(D184),0)))</f>
        <v/>
      </c>
      <c r="F184" s="3"/>
      <c r="G184" s="14"/>
      <c r="H184" s="1"/>
    </row>
    <row r="185" spans="1:8">
      <c r="A185" s="2"/>
      <c r="B185" s="12"/>
      <c r="C185" s="2"/>
      <c r="D185" s="13"/>
      <c r="E185" s="8" t="str">
        <f>IF(C185="","",MAX(0,SUMIFS('CHIT REGISTER (ಮಾಸಿಕ ಚಿಟ್ ನೋಂದಣ'!$D$5:$D$502,'CHIT REGISTER (ಮಾಸಿಕ ಚಿಟ್ ನೋಂದಣ'!$F$5:$F$502,C185,'CHIT REGISTER (ಮಾಸಿಕ ಚಿಟ್ ನೋಂದಣ'!$G$5:$G$502,"UNPAID")-IF(F185="PAID",N(D185),0)))</f>
        <v/>
      </c>
      <c r="F185" s="4"/>
      <c r="G185" s="12"/>
      <c r="H185" s="2"/>
    </row>
    <row r="186" spans="1:8">
      <c r="A186" s="1"/>
      <c r="B186" s="14"/>
      <c r="C186" s="1"/>
      <c r="D186" s="15"/>
      <c r="E186" s="9" t="str">
        <f>IF(C186="","",MAX(0,SUMIFS('CHIT REGISTER (ಮಾಸಿಕ ಚಿಟ್ ನೋಂದಣ'!$D$5:$D$502,'CHIT REGISTER (ಮಾಸಿಕ ಚಿಟ್ ನೋಂದಣ'!$F$5:$F$502,C186,'CHIT REGISTER (ಮಾಸಿಕ ಚಿಟ್ ನೋಂದಣ'!$G$5:$G$502,"UNPAID")-IF(F186="PAID",N(D186),0)))</f>
        <v/>
      </c>
      <c r="F186" s="3"/>
      <c r="G186" s="14"/>
      <c r="H186" s="1"/>
    </row>
    <row r="187" spans="1:8">
      <c r="A187" s="2"/>
      <c r="B187" s="12"/>
      <c r="C187" s="2"/>
      <c r="D187" s="13"/>
      <c r="E187" s="8" t="str">
        <f>IF(C187="","",MAX(0,SUMIFS('CHIT REGISTER (ಮಾಸಿಕ ಚಿಟ್ ನೋಂದಣ'!$D$5:$D$502,'CHIT REGISTER (ಮಾಸಿಕ ಚಿಟ್ ನೋಂದಣ'!$F$5:$F$502,C187,'CHIT REGISTER (ಮಾಸಿಕ ಚಿಟ್ ನೋಂದಣ'!$G$5:$G$502,"UNPAID")-IF(F187="PAID",N(D187),0)))</f>
        <v/>
      </c>
      <c r="F187" s="4"/>
      <c r="G187" s="12"/>
      <c r="H187" s="2"/>
    </row>
    <row r="188" spans="1:8">
      <c r="A188" s="1"/>
      <c r="B188" s="14"/>
      <c r="C188" s="1"/>
      <c r="D188" s="15"/>
      <c r="E188" s="9" t="str">
        <f>IF(C188="","",MAX(0,SUMIFS('CHIT REGISTER (ಮಾಸಿಕ ಚಿಟ್ ನೋಂದಣ'!$D$5:$D$502,'CHIT REGISTER (ಮಾಸಿಕ ಚಿಟ್ ನೋಂದಣ'!$F$5:$F$502,C188,'CHIT REGISTER (ಮಾಸಿಕ ಚಿಟ್ ನೋಂದಣ'!$G$5:$G$502,"UNPAID")-IF(F188="PAID",N(D188),0)))</f>
        <v/>
      </c>
      <c r="F188" s="3"/>
      <c r="G188" s="14"/>
      <c r="H188" s="1"/>
    </row>
    <row r="189" spans="1:8">
      <c r="A189" s="2"/>
      <c r="B189" s="12"/>
      <c r="C189" s="2"/>
      <c r="D189" s="13"/>
      <c r="E189" s="8" t="str">
        <f>IF(C189="","",MAX(0,SUMIFS('CHIT REGISTER (ಮಾಸಿಕ ಚಿಟ್ ನೋಂದಣ'!$D$5:$D$502,'CHIT REGISTER (ಮಾಸಿಕ ಚಿಟ್ ನೋಂದಣ'!$F$5:$F$502,C189,'CHIT REGISTER (ಮಾಸಿಕ ಚಿಟ್ ನೋಂದಣ'!$G$5:$G$502,"UNPAID")-IF(F189="PAID",N(D189),0)))</f>
        <v/>
      </c>
      <c r="F189" s="4"/>
      <c r="G189" s="12"/>
      <c r="H189" s="2"/>
    </row>
    <row r="190" spans="1:8">
      <c r="A190" s="1"/>
      <c r="B190" s="14"/>
      <c r="C190" s="1"/>
      <c r="D190" s="15"/>
      <c r="E190" s="9" t="str">
        <f>IF(C190="","",MAX(0,SUMIFS('CHIT REGISTER (ಮಾಸಿಕ ಚಿಟ್ ನೋಂದಣ'!$D$5:$D$502,'CHIT REGISTER (ಮಾಸಿಕ ಚಿಟ್ ನೋಂದಣ'!$F$5:$F$502,C190,'CHIT REGISTER (ಮಾಸಿಕ ಚಿಟ್ ನೋಂದಣ'!$G$5:$G$502,"UNPAID")-IF(F190="PAID",N(D190),0)))</f>
        <v/>
      </c>
      <c r="F190" s="3"/>
      <c r="G190" s="14"/>
      <c r="H190" s="1"/>
    </row>
    <row r="191" spans="1:8">
      <c r="A191" s="2"/>
      <c r="B191" s="12"/>
      <c r="C191" s="2"/>
      <c r="D191" s="13"/>
      <c r="E191" s="8" t="str">
        <f>IF(C191="","",MAX(0,SUMIFS('CHIT REGISTER (ಮಾಸಿಕ ಚಿಟ್ ನೋಂದಣ'!$D$5:$D$502,'CHIT REGISTER (ಮಾಸಿಕ ಚಿಟ್ ನೋಂದಣ'!$F$5:$F$502,C191,'CHIT REGISTER (ಮಾಸಿಕ ಚಿಟ್ ನೋಂದಣ'!$G$5:$G$502,"UNPAID")-IF(F191="PAID",N(D191),0)))</f>
        <v/>
      </c>
      <c r="F191" s="4"/>
      <c r="G191" s="12"/>
      <c r="H191" s="2"/>
    </row>
    <row r="192" spans="1:8">
      <c r="A192" s="1"/>
      <c r="B192" s="14"/>
      <c r="C192" s="1"/>
      <c r="D192" s="15"/>
      <c r="E192" s="9" t="str">
        <f>IF(C192="","",MAX(0,SUMIFS('CHIT REGISTER (ಮಾಸಿಕ ಚಿಟ್ ನೋಂದಣ'!$D$5:$D$502,'CHIT REGISTER (ಮಾಸಿಕ ಚಿಟ್ ನೋಂದಣ'!$F$5:$F$502,C192,'CHIT REGISTER (ಮಾಸಿಕ ಚಿಟ್ ನೋಂದಣ'!$G$5:$G$502,"UNPAID")-IF(F192="PAID",N(D192),0)))</f>
        <v/>
      </c>
      <c r="F192" s="3"/>
      <c r="G192" s="14"/>
      <c r="H192" s="1"/>
    </row>
    <row r="193" spans="1:8">
      <c r="A193" s="2"/>
      <c r="B193" s="12"/>
      <c r="C193" s="2"/>
      <c r="D193" s="13"/>
      <c r="E193" s="8" t="str">
        <f>IF(C193="","",MAX(0,SUMIFS('CHIT REGISTER (ಮಾಸಿಕ ಚಿಟ್ ನೋಂದಣ'!$D$5:$D$502,'CHIT REGISTER (ಮಾಸಿಕ ಚಿಟ್ ನೋಂದಣ'!$F$5:$F$502,C193,'CHIT REGISTER (ಮಾಸಿಕ ಚಿಟ್ ನೋಂದಣ'!$G$5:$G$502,"UNPAID")-IF(F193="PAID",N(D193),0)))</f>
        <v/>
      </c>
      <c r="F193" s="4"/>
      <c r="G193" s="12"/>
      <c r="H193" s="2"/>
    </row>
    <row r="194" spans="1:8">
      <c r="A194" s="1"/>
      <c r="B194" s="14"/>
      <c r="C194" s="1"/>
      <c r="D194" s="15"/>
      <c r="E194" s="9" t="str">
        <f>IF(C194="","",MAX(0,SUMIFS('CHIT REGISTER (ಮಾಸಿಕ ಚಿಟ್ ನೋಂದಣ'!$D$5:$D$502,'CHIT REGISTER (ಮಾಸಿಕ ಚಿಟ್ ನೋಂದಣ'!$F$5:$F$502,C194,'CHIT REGISTER (ಮಾಸಿಕ ಚಿಟ್ ನೋಂದಣ'!$G$5:$G$502,"UNPAID")-IF(F194="PAID",N(D194),0)))</f>
        <v/>
      </c>
      <c r="F194" s="3"/>
      <c r="G194" s="14"/>
      <c r="H194" s="1"/>
    </row>
    <row r="195" spans="1:8">
      <c r="A195" s="2"/>
      <c r="B195" s="12"/>
      <c r="C195" s="2"/>
      <c r="D195" s="13"/>
      <c r="E195" s="8" t="str">
        <f>IF(C195="","",MAX(0,SUMIFS('CHIT REGISTER (ಮಾಸಿಕ ಚಿಟ್ ನೋಂದಣ'!$D$5:$D$502,'CHIT REGISTER (ಮಾಸಿಕ ಚಿಟ್ ನೋಂದಣ'!$F$5:$F$502,C195,'CHIT REGISTER (ಮಾಸಿಕ ಚಿಟ್ ನೋಂದಣ'!$G$5:$G$502,"UNPAID")-IF(F195="PAID",N(D195),0)))</f>
        <v/>
      </c>
      <c r="F195" s="4"/>
      <c r="G195" s="12"/>
      <c r="H195" s="2"/>
    </row>
    <row r="196" spans="1:8">
      <c r="A196" s="1"/>
      <c r="B196" s="14"/>
      <c r="C196" s="1"/>
      <c r="D196" s="15"/>
      <c r="E196" s="9" t="str">
        <f>IF(C196="","",MAX(0,SUMIFS('CHIT REGISTER (ಮಾಸಿಕ ಚಿಟ್ ನೋಂದಣ'!$D$5:$D$502,'CHIT REGISTER (ಮಾಸಿಕ ಚಿಟ್ ನೋಂದಣ'!$F$5:$F$502,C196,'CHIT REGISTER (ಮಾಸಿಕ ಚಿಟ್ ನೋಂದಣ'!$G$5:$G$502,"UNPAID")-IF(F196="PAID",N(D196),0)))</f>
        <v/>
      </c>
      <c r="F196" s="3"/>
      <c r="G196" s="14"/>
      <c r="H196" s="1"/>
    </row>
    <row r="197" spans="1:8">
      <c r="A197" s="2"/>
      <c r="B197" s="12"/>
      <c r="C197" s="2"/>
      <c r="D197" s="13"/>
      <c r="E197" s="8" t="str">
        <f>IF(C197="","",MAX(0,SUMIFS('CHIT REGISTER (ಮಾಸಿಕ ಚಿಟ್ ನೋಂದಣ'!$D$5:$D$502,'CHIT REGISTER (ಮಾಸಿಕ ಚಿಟ್ ನೋಂದಣ'!$F$5:$F$502,C197,'CHIT REGISTER (ಮಾಸಿಕ ಚಿಟ್ ನೋಂದಣ'!$G$5:$G$502,"UNPAID")-IF(F197="PAID",N(D197),0)))</f>
        <v/>
      </c>
      <c r="F197" s="4"/>
      <c r="G197" s="12"/>
      <c r="H197" s="2"/>
    </row>
    <row r="198" spans="1:8">
      <c r="A198" s="1"/>
      <c r="B198" s="14"/>
      <c r="C198" s="1"/>
      <c r="D198" s="15"/>
      <c r="E198" s="9" t="str">
        <f>IF(C198="","",MAX(0,SUMIFS('CHIT REGISTER (ಮಾಸಿಕ ಚಿಟ್ ನೋಂದಣ'!$D$5:$D$502,'CHIT REGISTER (ಮಾಸಿಕ ಚಿಟ್ ನೋಂದಣ'!$F$5:$F$502,C198,'CHIT REGISTER (ಮಾಸಿಕ ಚಿಟ್ ನೋಂದಣ'!$G$5:$G$502,"UNPAID")-IF(F198="PAID",N(D198),0)))</f>
        <v/>
      </c>
      <c r="F198" s="3"/>
      <c r="G198" s="14"/>
      <c r="H198" s="1"/>
    </row>
    <row r="199" spans="1:8">
      <c r="A199" s="2"/>
      <c r="B199" s="12"/>
      <c r="C199" s="2"/>
      <c r="D199" s="13"/>
      <c r="E199" s="8" t="str">
        <f>IF(C199="","",MAX(0,SUMIFS('CHIT REGISTER (ಮಾಸಿಕ ಚಿಟ್ ನೋಂದಣ'!$D$5:$D$502,'CHIT REGISTER (ಮಾಸಿಕ ಚಿಟ್ ನೋಂದಣ'!$F$5:$F$502,C199,'CHIT REGISTER (ಮಾಸಿಕ ಚಿಟ್ ನೋಂದಣ'!$G$5:$G$502,"UNPAID")-IF(F199="PAID",N(D199),0)))</f>
        <v/>
      </c>
      <c r="F199" s="4"/>
      <c r="G199" s="12"/>
      <c r="H199" s="2"/>
    </row>
    <row r="200" spans="1:8">
      <c r="A200" s="1"/>
      <c r="B200" s="14"/>
      <c r="C200" s="1"/>
      <c r="D200" s="15"/>
      <c r="E200" s="9" t="str">
        <f>IF(C200="","",MAX(0,SUMIFS('CHIT REGISTER (ಮಾಸಿಕ ಚಿಟ್ ನೋಂದಣ'!$D$5:$D$502,'CHIT REGISTER (ಮಾಸಿಕ ಚಿಟ್ ನೋಂದಣ'!$F$5:$F$502,C200,'CHIT REGISTER (ಮಾಸಿಕ ಚಿಟ್ ನೋಂದಣ'!$G$5:$G$502,"UNPAID")-IF(F200="PAID",N(D200),0)))</f>
        <v/>
      </c>
      <c r="F200" s="3"/>
      <c r="G200" s="14"/>
      <c r="H200" s="1"/>
    </row>
    <row r="201" spans="1:8">
      <c r="A201" s="2"/>
      <c r="B201" s="12"/>
      <c r="C201" s="2"/>
      <c r="D201" s="13"/>
      <c r="E201" s="8" t="str">
        <f>IF(C201="","",MAX(0,SUMIFS('CHIT REGISTER (ಮಾಸಿಕ ಚಿಟ್ ನೋಂದಣ'!$D$5:$D$502,'CHIT REGISTER (ಮಾಸಿಕ ಚಿಟ್ ನೋಂದಣ'!$F$5:$F$502,C201,'CHIT REGISTER (ಮಾಸಿಕ ಚಿಟ್ ನೋಂದಣ'!$G$5:$G$502,"UNPAID")-IF(F201="PAID",N(D201),0)))</f>
        <v/>
      </c>
      <c r="F201" s="4"/>
      <c r="G201" s="12"/>
      <c r="H201" s="2"/>
    </row>
    <row r="202" spans="1:8">
      <c r="A202" s="1"/>
      <c r="B202" s="14"/>
      <c r="C202" s="1"/>
      <c r="D202" s="15"/>
      <c r="E202" s="9" t="str">
        <f>IF(C202="","",MAX(0,SUMIFS('CHIT REGISTER (ಮಾಸಿಕ ಚಿಟ್ ನೋಂದಣ'!$D$5:$D$502,'CHIT REGISTER (ಮಾಸಿಕ ಚಿಟ್ ನೋಂದಣ'!$F$5:$F$502,C202,'CHIT REGISTER (ಮಾಸಿಕ ಚಿಟ್ ನೋಂದಣ'!$G$5:$G$502,"UNPAID")-IF(F202="PAID",N(D202),0)))</f>
        <v/>
      </c>
      <c r="F202" s="3"/>
      <c r="G202" s="14"/>
      <c r="H202" s="1"/>
    </row>
    <row r="203" spans="1:8">
      <c r="A203" s="2"/>
      <c r="B203" s="12"/>
      <c r="C203" s="2"/>
      <c r="D203" s="13"/>
      <c r="E203" s="8" t="str">
        <f>IF(C203="","",MAX(0,SUMIFS('CHIT REGISTER (ಮಾಸಿಕ ಚಿಟ್ ನೋಂದಣ'!$D$5:$D$502,'CHIT REGISTER (ಮಾಸಿಕ ಚಿಟ್ ನೋಂದಣ'!$F$5:$F$502,C203,'CHIT REGISTER (ಮಾಸಿಕ ಚಿಟ್ ನೋಂದಣ'!$G$5:$G$502,"UNPAID")-IF(F203="PAID",N(D203),0)))</f>
        <v/>
      </c>
      <c r="F203" s="4"/>
      <c r="G203" s="12"/>
      <c r="H203" s="2"/>
    </row>
    <row r="204" spans="1:8">
      <c r="A204" s="1"/>
      <c r="B204" s="14"/>
      <c r="C204" s="1"/>
      <c r="D204" s="15"/>
      <c r="E204" s="9" t="str">
        <f>IF(C204="","",MAX(0,SUMIFS('CHIT REGISTER (ಮಾಸಿಕ ಚಿಟ್ ನೋಂದಣ'!$D$5:$D$502,'CHIT REGISTER (ಮಾಸಿಕ ಚಿಟ್ ನೋಂದಣ'!$F$5:$F$502,C204,'CHIT REGISTER (ಮಾಸಿಕ ಚಿಟ್ ನೋಂದಣ'!$G$5:$G$502,"UNPAID")-IF(F204="PAID",N(D204),0)))</f>
        <v/>
      </c>
      <c r="F204" s="3"/>
      <c r="G204" s="14"/>
      <c r="H204" s="1"/>
    </row>
    <row r="205" spans="1:8">
      <c r="A205" s="2"/>
      <c r="B205" s="12"/>
      <c r="C205" s="2"/>
      <c r="D205" s="13"/>
      <c r="E205" s="8" t="str">
        <f>IF(C205="","",MAX(0,SUMIFS('CHIT REGISTER (ಮಾಸಿಕ ಚಿಟ್ ನೋಂದಣ'!$D$5:$D$502,'CHIT REGISTER (ಮಾಸಿಕ ಚಿಟ್ ನೋಂದಣ'!$F$5:$F$502,C205,'CHIT REGISTER (ಮಾಸಿಕ ಚಿಟ್ ನೋಂದಣ'!$G$5:$G$502,"UNPAID")-IF(F205="PAID",N(D205),0)))</f>
        <v/>
      </c>
      <c r="F205" s="4"/>
      <c r="G205" s="12"/>
      <c r="H205" s="2"/>
    </row>
    <row r="206" spans="1:8">
      <c r="A206" s="1"/>
      <c r="B206" s="14"/>
      <c r="C206" s="1"/>
      <c r="D206" s="15"/>
      <c r="E206" s="9" t="str">
        <f>IF(C206="","",MAX(0,SUMIFS('CHIT REGISTER (ಮಾಸಿಕ ಚಿಟ್ ನೋಂದಣ'!$D$5:$D$502,'CHIT REGISTER (ಮಾಸಿಕ ಚಿಟ್ ನೋಂದಣ'!$F$5:$F$502,C206,'CHIT REGISTER (ಮಾಸಿಕ ಚಿಟ್ ನೋಂದಣ'!$G$5:$G$502,"UNPAID")-IF(F206="PAID",N(D206),0)))</f>
        <v/>
      </c>
      <c r="F206" s="3"/>
      <c r="G206" s="14"/>
      <c r="H206" s="1"/>
    </row>
    <row r="207" spans="1:8">
      <c r="A207" s="2"/>
      <c r="B207" s="12"/>
      <c r="C207" s="2"/>
      <c r="D207" s="13"/>
      <c r="E207" s="8" t="str">
        <f>IF(C207="","",MAX(0,SUMIFS('CHIT REGISTER (ಮಾಸಿಕ ಚಿಟ್ ನೋಂದಣ'!$D$5:$D$502,'CHIT REGISTER (ಮಾಸಿಕ ಚಿಟ್ ನೋಂದಣ'!$F$5:$F$502,C207,'CHIT REGISTER (ಮಾಸಿಕ ಚಿಟ್ ನೋಂದಣ'!$G$5:$G$502,"UNPAID")-IF(F207="PAID",N(D207),0)))</f>
        <v/>
      </c>
      <c r="F207" s="4"/>
      <c r="G207" s="12"/>
      <c r="H207" s="2"/>
    </row>
    <row r="208" spans="1:8">
      <c r="A208" s="1"/>
      <c r="B208" s="14"/>
      <c r="C208" s="1"/>
      <c r="D208" s="15"/>
      <c r="E208" s="9" t="str">
        <f>IF(C208="","",MAX(0,SUMIFS('CHIT REGISTER (ಮಾಸಿಕ ಚಿಟ್ ನೋಂದಣ'!$D$5:$D$502,'CHIT REGISTER (ಮಾಸಿಕ ಚಿಟ್ ನೋಂದಣ'!$F$5:$F$502,C208,'CHIT REGISTER (ಮಾಸಿಕ ಚಿಟ್ ನೋಂದಣ'!$G$5:$G$502,"UNPAID")-IF(F208="PAID",N(D208),0)))</f>
        <v/>
      </c>
      <c r="F208" s="3"/>
      <c r="G208" s="14"/>
      <c r="H208" s="1"/>
    </row>
    <row r="209" spans="1:8">
      <c r="A209" s="2"/>
      <c r="B209" s="12"/>
      <c r="C209" s="2"/>
      <c r="D209" s="13"/>
      <c r="E209" s="8" t="str">
        <f>IF(C209="","",MAX(0,SUMIFS('CHIT REGISTER (ಮಾಸಿಕ ಚಿಟ್ ನೋಂದಣ'!$D$5:$D$502,'CHIT REGISTER (ಮಾಸಿಕ ಚಿಟ್ ನೋಂದಣ'!$F$5:$F$502,C209,'CHIT REGISTER (ಮಾಸಿಕ ಚಿಟ್ ನೋಂದಣ'!$G$5:$G$502,"UNPAID")-IF(F209="PAID",N(D209),0)))</f>
        <v/>
      </c>
      <c r="F209" s="4"/>
      <c r="G209" s="12"/>
      <c r="H209" s="2"/>
    </row>
    <row r="210" spans="1:8">
      <c r="A210" s="1"/>
      <c r="B210" s="14"/>
      <c r="C210" s="1"/>
      <c r="D210" s="15"/>
      <c r="E210" s="9" t="str">
        <f>IF(C210="","",MAX(0,SUMIFS('CHIT REGISTER (ಮಾಸಿಕ ಚಿಟ್ ನೋಂದಣ'!$D$5:$D$502,'CHIT REGISTER (ಮಾಸಿಕ ಚಿಟ್ ನೋಂದಣ'!$F$5:$F$502,C210,'CHIT REGISTER (ಮಾಸಿಕ ಚಿಟ್ ನೋಂದಣ'!$G$5:$G$502,"UNPAID")-IF(F210="PAID",N(D210),0)))</f>
        <v/>
      </c>
      <c r="F210" s="3"/>
      <c r="G210" s="14"/>
      <c r="H210" s="1"/>
    </row>
    <row r="211" spans="1:8">
      <c r="A211" s="2"/>
      <c r="B211" s="12"/>
      <c r="C211" s="2"/>
      <c r="D211" s="13"/>
      <c r="E211" s="8" t="str">
        <f>IF(C211="","",MAX(0,SUMIFS('CHIT REGISTER (ಮಾಸಿಕ ಚಿಟ್ ನೋಂದಣ'!$D$5:$D$502,'CHIT REGISTER (ಮಾಸಿಕ ಚಿಟ್ ನೋಂದಣ'!$F$5:$F$502,C211,'CHIT REGISTER (ಮಾಸಿಕ ಚಿಟ್ ನೋಂದಣ'!$G$5:$G$502,"UNPAID")-IF(F211="PAID",N(D211),0)))</f>
        <v/>
      </c>
      <c r="F211" s="4"/>
      <c r="G211" s="12"/>
      <c r="H211" s="2"/>
    </row>
    <row r="212" spans="1:8">
      <c r="A212" s="1"/>
      <c r="B212" s="14"/>
      <c r="C212" s="1"/>
      <c r="D212" s="15"/>
      <c r="E212" s="9" t="str">
        <f>IF(C212="","",MAX(0,SUMIFS('CHIT REGISTER (ಮಾಸಿಕ ಚಿಟ್ ನೋಂದಣ'!$D$5:$D$502,'CHIT REGISTER (ಮಾಸಿಕ ಚಿಟ್ ನೋಂದಣ'!$F$5:$F$502,C212,'CHIT REGISTER (ಮಾಸಿಕ ಚಿಟ್ ನೋಂದಣ'!$G$5:$G$502,"UNPAID")-IF(F212="PAID",N(D212),0)))</f>
        <v/>
      </c>
      <c r="F212" s="3"/>
      <c r="G212" s="14"/>
      <c r="H212" s="1"/>
    </row>
    <row r="213" spans="1:8">
      <c r="A213" s="2"/>
      <c r="B213" s="12"/>
      <c r="C213" s="2"/>
      <c r="D213" s="13"/>
      <c r="E213" s="8" t="str">
        <f>IF(C213="","",MAX(0,SUMIFS('CHIT REGISTER (ಮಾಸಿಕ ಚಿಟ್ ನೋಂದಣ'!$D$5:$D$502,'CHIT REGISTER (ಮಾಸಿಕ ಚಿಟ್ ನೋಂದಣ'!$F$5:$F$502,C213,'CHIT REGISTER (ಮಾಸಿಕ ಚಿಟ್ ನೋಂದಣ'!$G$5:$G$502,"UNPAID")-IF(F213="PAID",N(D213),0)))</f>
        <v/>
      </c>
      <c r="F213" s="4"/>
      <c r="G213" s="12"/>
      <c r="H213" s="2"/>
    </row>
    <row r="214" spans="1:8">
      <c r="A214" s="1"/>
      <c r="B214" s="14"/>
      <c r="C214" s="1"/>
      <c r="D214" s="15"/>
      <c r="E214" s="9" t="str">
        <f>IF(C214="","",MAX(0,SUMIFS('CHIT REGISTER (ಮಾಸಿಕ ಚಿಟ್ ನೋಂದಣ'!$D$5:$D$502,'CHIT REGISTER (ಮಾಸಿಕ ಚಿಟ್ ನೋಂದಣ'!$F$5:$F$502,C214,'CHIT REGISTER (ಮಾಸಿಕ ಚಿಟ್ ನೋಂದಣ'!$G$5:$G$502,"UNPAID")-IF(F214="PAID",N(D214),0)))</f>
        <v/>
      </c>
      <c r="F214" s="3"/>
      <c r="G214" s="14"/>
      <c r="H214" s="1"/>
    </row>
    <row r="215" spans="1:8">
      <c r="A215" s="2"/>
      <c r="B215" s="12"/>
      <c r="C215" s="2"/>
      <c r="D215" s="13"/>
      <c r="E215" s="8" t="str">
        <f>IF(C215="","",MAX(0,SUMIFS('CHIT REGISTER (ಮಾಸಿಕ ಚಿಟ್ ನೋಂದಣ'!$D$5:$D$502,'CHIT REGISTER (ಮಾಸಿಕ ಚಿಟ್ ನೋಂದಣ'!$F$5:$F$502,C215,'CHIT REGISTER (ಮಾಸಿಕ ಚಿಟ್ ನೋಂದಣ'!$G$5:$G$502,"UNPAID")-IF(F215="PAID",N(D215),0)))</f>
        <v/>
      </c>
      <c r="F215" s="4"/>
      <c r="G215" s="12"/>
      <c r="H215" s="2"/>
    </row>
    <row r="216" spans="1:8">
      <c r="A216" s="1"/>
      <c r="B216" s="14"/>
      <c r="C216" s="1"/>
      <c r="D216" s="15"/>
      <c r="E216" s="9" t="str">
        <f>IF(C216="","",MAX(0,SUMIFS('CHIT REGISTER (ಮಾಸಿಕ ಚಿಟ್ ನೋಂದಣ'!$D$5:$D$502,'CHIT REGISTER (ಮಾಸಿಕ ಚಿಟ್ ನೋಂದಣ'!$F$5:$F$502,C216,'CHIT REGISTER (ಮಾಸಿಕ ಚಿಟ್ ನೋಂದಣ'!$G$5:$G$502,"UNPAID")-IF(F216="PAID",N(D216),0)))</f>
        <v/>
      </c>
      <c r="F216" s="3"/>
      <c r="G216" s="14"/>
      <c r="H216" s="1"/>
    </row>
    <row r="217" spans="1:8">
      <c r="A217" s="2"/>
      <c r="B217" s="12"/>
      <c r="C217" s="2"/>
      <c r="D217" s="13"/>
      <c r="E217" s="8" t="str">
        <f>IF(C217="","",MAX(0,SUMIFS('CHIT REGISTER (ಮಾಸಿಕ ಚಿಟ್ ನೋಂದಣ'!$D$5:$D$502,'CHIT REGISTER (ಮಾಸಿಕ ಚಿಟ್ ನೋಂದಣ'!$F$5:$F$502,C217,'CHIT REGISTER (ಮಾಸಿಕ ಚಿಟ್ ನೋಂದಣ'!$G$5:$G$502,"UNPAID")-IF(F217="PAID",N(D217),0)))</f>
        <v/>
      </c>
      <c r="F217" s="4"/>
      <c r="G217" s="12"/>
      <c r="H217" s="2"/>
    </row>
    <row r="218" spans="1:8">
      <c r="A218" s="1"/>
      <c r="B218" s="14"/>
      <c r="C218" s="1"/>
      <c r="D218" s="15"/>
      <c r="E218" s="9" t="str">
        <f>IF(C218="","",MAX(0,SUMIFS('CHIT REGISTER (ಮಾಸಿಕ ಚಿಟ್ ನೋಂದಣ'!$D$5:$D$502,'CHIT REGISTER (ಮಾಸಿಕ ಚಿಟ್ ನೋಂದಣ'!$F$5:$F$502,C218,'CHIT REGISTER (ಮಾಸಿಕ ಚಿಟ್ ನೋಂದಣ'!$G$5:$G$502,"UNPAID")-IF(F218="PAID",N(D218),0)))</f>
        <v/>
      </c>
      <c r="F218" s="3"/>
      <c r="G218" s="14"/>
      <c r="H218" s="1"/>
    </row>
    <row r="219" spans="1:8">
      <c r="A219" s="2"/>
      <c r="B219" s="12"/>
      <c r="C219" s="2"/>
      <c r="D219" s="13"/>
      <c r="E219" s="8" t="str">
        <f>IF(C219="","",MAX(0,SUMIFS('CHIT REGISTER (ಮಾಸಿಕ ಚಿಟ್ ನೋಂದಣ'!$D$5:$D$502,'CHIT REGISTER (ಮಾಸಿಕ ಚಿಟ್ ನೋಂದಣ'!$F$5:$F$502,C219,'CHIT REGISTER (ಮಾಸಿಕ ಚಿಟ್ ನೋಂದಣ'!$G$5:$G$502,"UNPAID")-IF(F219="PAID",N(D219),0)))</f>
        <v/>
      </c>
      <c r="F219" s="4"/>
      <c r="G219" s="12"/>
      <c r="H219" s="2"/>
    </row>
    <row r="220" spans="1:8">
      <c r="A220" s="1"/>
      <c r="B220" s="14"/>
      <c r="C220" s="1"/>
      <c r="D220" s="15"/>
      <c r="E220" s="9" t="str">
        <f>IF(C220="","",MAX(0,SUMIFS('CHIT REGISTER (ಮಾಸಿಕ ಚಿಟ್ ನೋಂದಣ'!$D$5:$D$502,'CHIT REGISTER (ಮಾಸಿಕ ಚಿಟ್ ನೋಂದಣ'!$F$5:$F$502,C220,'CHIT REGISTER (ಮಾಸಿಕ ಚಿಟ್ ನೋಂದಣ'!$G$5:$G$502,"UNPAID")-IF(F220="PAID",N(D220),0)))</f>
        <v/>
      </c>
      <c r="F220" s="3"/>
      <c r="G220" s="14"/>
      <c r="H220" s="1"/>
    </row>
    <row r="221" spans="1:8">
      <c r="A221" s="2"/>
      <c r="B221" s="12"/>
      <c r="C221" s="2"/>
      <c r="D221" s="13"/>
      <c r="E221" s="8" t="str">
        <f>IF(C221="","",MAX(0,SUMIFS('CHIT REGISTER (ಮಾಸಿಕ ಚಿಟ್ ನೋಂದಣ'!$D$5:$D$502,'CHIT REGISTER (ಮಾಸಿಕ ಚಿಟ್ ನೋಂದಣ'!$F$5:$F$502,C221,'CHIT REGISTER (ಮಾಸಿಕ ಚಿಟ್ ನೋಂದಣ'!$G$5:$G$502,"UNPAID")-IF(F221="PAID",N(D221),0)))</f>
        <v/>
      </c>
      <c r="F221" s="4"/>
      <c r="G221" s="12"/>
      <c r="H221" s="2"/>
    </row>
    <row r="222" spans="1:8">
      <c r="A222" s="1"/>
      <c r="B222" s="14"/>
      <c r="C222" s="1"/>
      <c r="D222" s="15"/>
      <c r="E222" s="9" t="str">
        <f>IF(C222="","",MAX(0,SUMIFS('CHIT REGISTER (ಮಾಸಿಕ ಚಿಟ್ ನೋಂದಣ'!$D$5:$D$502,'CHIT REGISTER (ಮಾಸಿಕ ಚಿಟ್ ನೋಂದಣ'!$F$5:$F$502,C222,'CHIT REGISTER (ಮಾಸಿಕ ಚಿಟ್ ನೋಂದಣ'!$G$5:$G$502,"UNPAID")-IF(F222="PAID",N(D222),0)))</f>
        <v/>
      </c>
      <c r="F222" s="3"/>
      <c r="G222" s="14"/>
      <c r="H222" s="1"/>
    </row>
    <row r="223" spans="1:8">
      <c r="A223" s="2"/>
      <c r="B223" s="12"/>
      <c r="C223" s="2"/>
      <c r="D223" s="13"/>
      <c r="E223" s="8" t="str">
        <f>IF(C223="","",MAX(0,SUMIFS('CHIT REGISTER (ಮಾಸಿಕ ಚಿಟ್ ನೋಂದಣ'!$D$5:$D$502,'CHIT REGISTER (ಮಾಸಿಕ ಚಿಟ್ ನೋಂದಣ'!$F$5:$F$502,C223,'CHIT REGISTER (ಮಾಸಿಕ ಚಿಟ್ ನೋಂದಣ'!$G$5:$G$502,"UNPAID")-IF(F223="PAID",N(D223),0)))</f>
        <v/>
      </c>
      <c r="F223" s="4"/>
      <c r="G223" s="12"/>
      <c r="H223" s="2"/>
    </row>
    <row r="224" spans="1:8">
      <c r="A224" s="1"/>
      <c r="B224" s="14"/>
      <c r="C224" s="1"/>
      <c r="D224" s="15"/>
      <c r="E224" s="9" t="str">
        <f>IF(C224="","",MAX(0,SUMIFS('CHIT REGISTER (ಮಾಸಿಕ ಚಿಟ್ ನೋಂದಣ'!$D$5:$D$502,'CHIT REGISTER (ಮಾಸಿಕ ಚಿಟ್ ನೋಂದಣ'!$F$5:$F$502,C224,'CHIT REGISTER (ಮಾಸಿಕ ಚಿಟ್ ನೋಂದಣ'!$G$5:$G$502,"UNPAID")-IF(F224="PAID",N(D224),0)))</f>
        <v/>
      </c>
      <c r="F224" s="3"/>
      <c r="G224" s="14"/>
      <c r="H224" s="1"/>
    </row>
    <row r="225" spans="1:8">
      <c r="A225" s="2"/>
      <c r="B225" s="12"/>
      <c r="C225" s="2"/>
      <c r="D225" s="13"/>
      <c r="E225" s="8" t="str">
        <f>IF(C225="","",MAX(0,SUMIFS('CHIT REGISTER (ಮಾಸಿಕ ಚಿಟ್ ನೋಂದಣ'!$D$5:$D$502,'CHIT REGISTER (ಮಾಸಿಕ ಚಿಟ್ ನೋಂದಣ'!$F$5:$F$502,C225,'CHIT REGISTER (ಮಾಸಿಕ ಚಿಟ್ ನೋಂದಣ'!$G$5:$G$502,"UNPAID")-IF(F225="PAID",N(D225),0)))</f>
        <v/>
      </c>
      <c r="F225" s="4"/>
      <c r="G225" s="12"/>
      <c r="H225" s="2"/>
    </row>
    <row r="226" spans="1:8">
      <c r="A226" s="1"/>
      <c r="B226" s="14"/>
      <c r="C226" s="1"/>
      <c r="D226" s="15"/>
      <c r="E226" s="9" t="str">
        <f>IF(C226="","",MAX(0,SUMIFS('CHIT REGISTER (ಮಾಸಿಕ ಚಿಟ್ ನೋಂದಣ'!$D$5:$D$502,'CHIT REGISTER (ಮಾಸಿಕ ಚಿಟ್ ನೋಂದಣ'!$F$5:$F$502,C226,'CHIT REGISTER (ಮಾಸಿಕ ಚಿಟ್ ನೋಂದಣ'!$G$5:$G$502,"UNPAID")-IF(F226="PAID",N(D226),0)))</f>
        <v/>
      </c>
      <c r="F226" s="3"/>
      <c r="G226" s="14"/>
      <c r="H226" s="1"/>
    </row>
    <row r="227" spans="1:8">
      <c r="A227" s="2"/>
      <c r="B227" s="12"/>
      <c r="C227" s="2"/>
      <c r="D227" s="13"/>
      <c r="E227" s="8" t="str">
        <f>IF(C227="","",MAX(0,SUMIFS('CHIT REGISTER (ಮಾಸಿಕ ಚಿಟ್ ನೋಂದಣ'!$D$5:$D$502,'CHIT REGISTER (ಮಾಸಿಕ ಚಿಟ್ ನೋಂದಣ'!$F$5:$F$502,C227,'CHIT REGISTER (ಮಾಸಿಕ ಚಿಟ್ ನೋಂದಣ'!$G$5:$G$502,"UNPAID")-IF(F227="PAID",N(D227),0)))</f>
        <v/>
      </c>
      <c r="F227" s="4"/>
      <c r="G227" s="12"/>
      <c r="H227" s="2"/>
    </row>
    <row r="228" spans="1:8">
      <c r="A228" s="1"/>
      <c r="B228" s="14"/>
      <c r="C228" s="1"/>
      <c r="D228" s="15"/>
      <c r="E228" s="9" t="str">
        <f>IF(C228="","",MAX(0,SUMIFS('CHIT REGISTER (ಮಾಸಿಕ ಚಿಟ್ ನೋಂದಣ'!$D$5:$D$502,'CHIT REGISTER (ಮಾಸಿಕ ಚಿಟ್ ನೋಂದಣ'!$F$5:$F$502,C228,'CHIT REGISTER (ಮಾಸಿಕ ಚಿಟ್ ನೋಂದಣ'!$G$5:$G$502,"UNPAID")-IF(F228="PAID",N(D228),0)))</f>
        <v/>
      </c>
      <c r="F228" s="3"/>
      <c r="G228" s="14"/>
      <c r="H228" s="1"/>
    </row>
    <row r="229" spans="1:8">
      <c r="A229" s="2"/>
      <c r="B229" s="12"/>
      <c r="C229" s="2"/>
      <c r="D229" s="13"/>
      <c r="E229" s="8" t="str">
        <f>IF(C229="","",MAX(0,SUMIFS('CHIT REGISTER (ಮಾಸಿಕ ಚಿಟ್ ನೋಂದಣ'!$D$5:$D$502,'CHIT REGISTER (ಮಾಸಿಕ ಚಿಟ್ ನೋಂದಣ'!$F$5:$F$502,C229,'CHIT REGISTER (ಮಾಸಿಕ ಚಿಟ್ ನೋಂದಣ'!$G$5:$G$502,"UNPAID")-IF(F229="PAID",N(D229),0)))</f>
        <v/>
      </c>
      <c r="F229" s="4"/>
      <c r="G229" s="12"/>
      <c r="H229" s="2"/>
    </row>
    <row r="230" spans="1:8">
      <c r="A230" s="1"/>
      <c r="B230" s="14"/>
      <c r="C230" s="1"/>
      <c r="D230" s="15"/>
      <c r="E230" s="9" t="str">
        <f>IF(C230="","",MAX(0,SUMIFS('CHIT REGISTER (ಮಾಸಿಕ ಚಿಟ್ ನೋಂದಣ'!$D$5:$D$502,'CHIT REGISTER (ಮಾಸಿಕ ಚಿಟ್ ನೋಂದಣ'!$F$5:$F$502,C230,'CHIT REGISTER (ಮಾಸಿಕ ಚಿಟ್ ನೋಂದಣ'!$G$5:$G$502,"UNPAID")-IF(F230="PAID",N(D230),0)))</f>
        <v/>
      </c>
      <c r="F230" s="3"/>
      <c r="G230" s="14"/>
      <c r="H230" s="1"/>
    </row>
    <row r="231" spans="1:8">
      <c r="A231" s="2"/>
      <c r="B231" s="12"/>
      <c r="C231" s="2"/>
      <c r="D231" s="13"/>
      <c r="E231" s="8" t="str">
        <f>IF(C231="","",MAX(0,SUMIFS('CHIT REGISTER (ಮಾಸಿಕ ಚಿಟ್ ನೋಂದಣ'!$D$5:$D$502,'CHIT REGISTER (ಮಾಸಿಕ ಚಿಟ್ ನೋಂದಣ'!$F$5:$F$502,C231,'CHIT REGISTER (ಮಾಸಿಕ ಚಿಟ್ ನೋಂದಣ'!$G$5:$G$502,"UNPAID")-IF(F231="PAID",N(D231),0)))</f>
        <v/>
      </c>
      <c r="F231" s="4"/>
      <c r="G231" s="12"/>
      <c r="H231" s="2"/>
    </row>
    <row r="232" spans="1:8">
      <c r="A232" s="1"/>
      <c r="B232" s="14"/>
      <c r="C232" s="1"/>
      <c r="D232" s="15"/>
      <c r="E232" s="9" t="str">
        <f>IF(C232="","",MAX(0,SUMIFS('CHIT REGISTER (ಮಾಸಿಕ ಚಿಟ್ ನೋಂದಣ'!$D$5:$D$502,'CHIT REGISTER (ಮಾಸಿಕ ಚಿಟ್ ನೋಂದಣ'!$F$5:$F$502,C232,'CHIT REGISTER (ಮಾಸಿಕ ಚಿಟ್ ನೋಂದಣ'!$G$5:$G$502,"UNPAID")-IF(F232="PAID",N(D232),0)))</f>
        <v/>
      </c>
      <c r="F232" s="3"/>
      <c r="G232" s="14"/>
      <c r="H232" s="1"/>
    </row>
    <row r="233" spans="1:8">
      <c r="A233" s="2"/>
      <c r="B233" s="12"/>
      <c r="C233" s="2"/>
      <c r="D233" s="13"/>
      <c r="E233" s="8" t="str">
        <f>IF(C233="","",MAX(0,SUMIFS('CHIT REGISTER (ಮಾಸಿಕ ಚಿಟ್ ನೋಂದಣ'!$D$5:$D$502,'CHIT REGISTER (ಮಾಸಿಕ ಚಿಟ್ ನೋಂದಣ'!$F$5:$F$502,C233,'CHIT REGISTER (ಮಾಸಿಕ ಚಿಟ್ ನೋಂದಣ'!$G$5:$G$502,"UNPAID")-IF(F233="PAID",N(D233),0)))</f>
        <v/>
      </c>
      <c r="F233" s="4"/>
      <c r="G233" s="12"/>
      <c r="H233" s="2"/>
    </row>
    <row r="234" spans="1:8">
      <c r="A234" s="1"/>
      <c r="B234" s="14"/>
      <c r="C234" s="1"/>
      <c r="D234" s="15"/>
      <c r="E234" s="9" t="str">
        <f>IF(C234="","",MAX(0,SUMIFS('CHIT REGISTER (ಮಾಸಿಕ ಚಿಟ್ ನೋಂದಣ'!$D$5:$D$502,'CHIT REGISTER (ಮಾಸಿಕ ಚಿಟ್ ನೋಂದಣ'!$F$5:$F$502,C234,'CHIT REGISTER (ಮಾಸಿಕ ಚಿಟ್ ನೋಂದಣ'!$G$5:$G$502,"UNPAID")-IF(F234="PAID",N(D234),0)))</f>
        <v/>
      </c>
      <c r="F234" s="3"/>
      <c r="G234" s="14"/>
      <c r="H234" s="1"/>
    </row>
    <row r="235" spans="1:8">
      <c r="A235" s="2"/>
      <c r="B235" s="12"/>
      <c r="C235" s="2"/>
      <c r="D235" s="13"/>
      <c r="E235" s="8" t="str">
        <f>IF(C235="","",MAX(0,SUMIFS('CHIT REGISTER (ಮಾಸಿಕ ಚಿಟ್ ನೋಂದಣ'!$D$5:$D$502,'CHIT REGISTER (ಮಾಸಿಕ ಚಿಟ್ ನೋಂದಣ'!$F$5:$F$502,C235,'CHIT REGISTER (ಮಾಸಿಕ ಚಿಟ್ ನೋಂದಣ'!$G$5:$G$502,"UNPAID")-IF(F235="PAID",N(D235),0)))</f>
        <v/>
      </c>
      <c r="F235" s="4"/>
      <c r="G235" s="12"/>
      <c r="H235" s="2"/>
    </row>
    <row r="236" spans="1:8">
      <c r="A236" s="1"/>
      <c r="B236" s="14"/>
      <c r="C236" s="1"/>
      <c r="D236" s="15"/>
      <c r="E236" s="9" t="str">
        <f>IF(C236="","",MAX(0,SUMIFS('CHIT REGISTER (ಮಾಸಿಕ ಚಿಟ್ ನೋಂದಣ'!$D$5:$D$502,'CHIT REGISTER (ಮಾಸಿಕ ಚಿಟ್ ನೋಂದಣ'!$F$5:$F$502,C236,'CHIT REGISTER (ಮಾಸಿಕ ಚಿಟ್ ನೋಂದಣ'!$G$5:$G$502,"UNPAID")-IF(F236="PAID",N(D236),0)))</f>
        <v/>
      </c>
      <c r="F236" s="3"/>
      <c r="G236" s="14"/>
      <c r="H236" s="1"/>
    </row>
    <row r="237" spans="1:8">
      <c r="A237" s="2"/>
      <c r="B237" s="12"/>
      <c r="C237" s="2"/>
      <c r="D237" s="13"/>
      <c r="E237" s="8" t="str">
        <f>IF(C237="","",MAX(0,SUMIFS('CHIT REGISTER (ಮಾಸಿಕ ಚಿಟ್ ನೋಂದಣ'!$D$5:$D$502,'CHIT REGISTER (ಮಾಸಿಕ ಚಿಟ್ ನೋಂದಣ'!$F$5:$F$502,C237,'CHIT REGISTER (ಮಾಸಿಕ ಚಿಟ್ ನೋಂದಣ'!$G$5:$G$502,"UNPAID")-IF(F237="PAID",N(D237),0)))</f>
        <v/>
      </c>
      <c r="F237" s="4"/>
      <c r="G237" s="12"/>
      <c r="H237" s="2"/>
    </row>
    <row r="238" spans="1:8">
      <c r="A238" s="1"/>
      <c r="B238" s="14"/>
      <c r="C238" s="1"/>
      <c r="D238" s="15"/>
      <c r="E238" s="9" t="str">
        <f>IF(C238="","",MAX(0,SUMIFS('CHIT REGISTER (ಮಾಸಿಕ ಚಿಟ್ ನೋಂದಣ'!$D$5:$D$502,'CHIT REGISTER (ಮಾಸಿಕ ಚಿಟ್ ನೋಂದಣ'!$F$5:$F$502,C238,'CHIT REGISTER (ಮಾಸಿಕ ಚಿಟ್ ನೋಂದಣ'!$G$5:$G$502,"UNPAID")-IF(F238="PAID",N(D238),0)))</f>
        <v/>
      </c>
      <c r="F238" s="3"/>
      <c r="G238" s="14"/>
      <c r="H238" s="1"/>
    </row>
    <row r="239" spans="1:8">
      <c r="A239" s="2"/>
      <c r="B239" s="12"/>
      <c r="C239" s="2"/>
      <c r="D239" s="13"/>
      <c r="E239" s="8" t="str">
        <f>IF(C239="","",MAX(0,SUMIFS('CHIT REGISTER (ಮಾಸಿಕ ಚಿಟ್ ನೋಂದಣ'!$D$5:$D$502,'CHIT REGISTER (ಮಾಸಿಕ ಚಿಟ್ ನೋಂದಣ'!$F$5:$F$502,C239,'CHIT REGISTER (ಮಾಸಿಕ ಚಿಟ್ ನೋಂದಣ'!$G$5:$G$502,"UNPAID")-IF(F239="PAID",N(D239),0)))</f>
        <v/>
      </c>
      <c r="F239" s="4"/>
      <c r="G239" s="12"/>
      <c r="H239" s="2"/>
    </row>
    <row r="240" spans="1:8">
      <c r="A240" s="1"/>
      <c r="B240" s="14"/>
      <c r="C240" s="1"/>
      <c r="D240" s="15"/>
      <c r="E240" s="9" t="str">
        <f>IF(C240="","",MAX(0,SUMIFS('CHIT REGISTER (ಮಾಸಿಕ ಚಿಟ್ ನೋಂದಣ'!$D$5:$D$502,'CHIT REGISTER (ಮಾಸಿಕ ಚಿಟ್ ನೋಂದಣ'!$F$5:$F$502,C240,'CHIT REGISTER (ಮಾಸಿಕ ಚಿಟ್ ನೋಂದಣ'!$G$5:$G$502,"UNPAID")-IF(F240="PAID",N(D240),0)))</f>
        <v/>
      </c>
      <c r="F240" s="3"/>
      <c r="G240" s="14"/>
      <c r="H240" s="1"/>
    </row>
    <row r="241" spans="1:8">
      <c r="A241" s="2"/>
      <c r="B241" s="12"/>
      <c r="C241" s="2"/>
      <c r="D241" s="13"/>
      <c r="E241" s="8" t="str">
        <f>IF(C241="","",MAX(0,SUMIFS('CHIT REGISTER (ಮಾಸಿಕ ಚಿಟ್ ನೋಂದಣ'!$D$5:$D$502,'CHIT REGISTER (ಮಾಸಿಕ ಚಿಟ್ ನೋಂದಣ'!$F$5:$F$502,C241,'CHIT REGISTER (ಮಾಸಿಕ ಚಿಟ್ ನೋಂದಣ'!$G$5:$G$502,"UNPAID")-IF(F241="PAID",N(D241),0)))</f>
        <v/>
      </c>
      <c r="F241" s="4"/>
      <c r="G241" s="12"/>
      <c r="H241" s="2"/>
    </row>
    <row r="242" spans="1:8">
      <c r="A242" s="1"/>
      <c r="B242" s="14"/>
      <c r="C242" s="1"/>
      <c r="D242" s="15"/>
      <c r="E242" s="9" t="str">
        <f>IF(C242="","",MAX(0,SUMIFS('CHIT REGISTER (ಮಾಸಿಕ ಚಿಟ್ ನೋಂದಣ'!$D$5:$D$502,'CHIT REGISTER (ಮಾಸಿಕ ಚಿಟ್ ನೋಂದಣ'!$F$5:$F$502,C242,'CHIT REGISTER (ಮಾಸಿಕ ಚಿಟ್ ನೋಂದಣ'!$G$5:$G$502,"UNPAID")-IF(F242="PAID",N(D242),0)))</f>
        <v/>
      </c>
      <c r="F242" s="3"/>
      <c r="G242" s="14"/>
      <c r="H242" s="1"/>
    </row>
    <row r="243" spans="1:8">
      <c r="A243" s="2"/>
      <c r="B243" s="12"/>
      <c r="C243" s="2"/>
      <c r="D243" s="13"/>
      <c r="E243" s="8" t="str">
        <f>IF(C243="","",MAX(0,SUMIFS('CHIT REGISTER (ಮಾಸಿಕ ಚಿಟ್ ನೋಂದಣ'!$D$5:$D$502,'CHIT REGISTER (ಮಾಸಿಕ ಚಿಟ್ ನೋಂದಣ'!$F$5:$F$502,C243,'CHIT REGISTER (ಮಾಸಿಕ ಚಿಟ್ ನೋಂದಣ'!$G$5:$G$502,"UNPAID")-IF(F243="PAID",N(D243),0)))</f>
        <v/>
      </c>
      <c r="F243" s="4"/>
      <c r="G243" s="12"/>
      <c r="H243" s="2"/>
    </row>
    <row r="244" spans="1:8">
      <c r="A244" s="1"/>
      <c r="B244" s="14"/>
      <c r="C244" s="1"/>
      <c r="D244" s="15"/>
      <c r="E244" s="9" t="str">
        <f>IF(C244="","",MAX(0,SUMIFS('CHIT REGISTER (ಮಾಸಿಕ ಚಿಟ್ ನೋಂದಣ'!$D$5:$D$502,'CHIT REGISTER (ಮಾಸಿಕ ಚಿಟ್ ನೋಂದಣ'!$F$5:$F$502,C244,'CHIT REGISTER (ಮಾಸಿಕ ಚಿಟ್ ನೋಂದಣ'!$G$5:$G$502,"UNPAID")-IF(F244="PAID",N(D244),0)))</f>
        <v/>
      </c>
      <c r="F244" s="3"/>
      <c r="G244" s="14"/>
      <c r="H244" s="1"/>
    </row>
    <row r="245" spans="1:8">
      <c r="A245" s="2"/>
      <c r="B245" s="12"/>
      <c r="C245" s="2"/>
      <c r="D245" s="13"/>
      <c r="E245" s="8" t="str">
        <f>IF(C245="","",MAX(0,SUMIFS('CHIT REGISTER (ಮಾಸಿಕ ಚಿಟ್ ನೋಂದಣ'!$D$5:$D$502,'CHIT REGISTER (ಮಾಸಿಕ ಚಿಟ್ ನೋಂದಣ'!$F$5:$F$502,C245,'CHIT REGISTER (ಮಾಸಿಕ ಚಿಟ್ ನೋಂದಣ'!$G$5:$G$502,"UNPAID")-IF(F245="PAID",N(D245),0)))</f>
        <v/>
      </c>
      <c r="F245" s="4"/>
      <c r="G245" s="12"/>
      <c r="H245" s="2"/>
    </row>
    <row r="246" spans="1:8">
      <c r="A246" s="1"/>
      <c r="B246" s="14"/>
      <c r="C246" s="1"/>
      <c r="D246" s="15"/>
      <c r="E246" s="9" t="str">
        <f>IF(C246="","",MAX(0,SUMIFS('CHIT REGISTER (ಮಾಸಿಕ ಚಿಟ್ ನೋಂದಣ'!$D$5:$D$502,'CHIT REGISTER (ಮಾಸಿಕ ಚಿಟ್ ನೋಂದಣ'!$F$5:$F$502,C246,'CHIT REGISTER (ಮಾಸಿಕ ಚಿಟ್ ನೋಂದಣ'!$G$5:$G$502,"UNPAID")-IF(F246="PAID",N(D246),0)))</f>
        <v/>
      </c>
      <c r="F246" s="3"/>
      <c r="G246" s="14"/>
      <c r="H246" s="1"/>
    </row>
    <row r="247" spans="1:8">
      <c r="A247" s="2"/>
      <c r="B247" s="12"/>
      <c r="C247" s="2"/>
      <c r="D247" s="13"/>
      <c r="E247" s="8" t="str">
        <f>IF(C247="","",MAX(0,SUMIFS('CHIT REGISTER (ಮಾಸಿಕ ಚಿಟ್ ನೋಂದಣ'!$D$5:$D$502,'CHIT REGISTER (ಮಾಸಿಕ ಚಿಟ್ ನೋಂದಣ'!$F$5:$F$502,C247,'CHIT REGISTER (ಮಾಸಿಕ ಚಿಟ್ ನೋಂದಣ'!$G$5:$G$502,"UNPAID")-IF(F247="PAID",N(D247),0)))</f>
        <v/>
      </c>
      <c r="F247" s="4"/>
      <c r="G247" s="12"/>
      <c r="H247" s="2"/>
    </row>
    <row r="248" spans="1:8">
      <c r="A248" s="1"/>
      <c r="B248" s="14"/>
      <c r="C248" s="1"/>
      <c r="D248" s="15"/>
      <c r="E248" s="9" t="str">
        <f>IF(C248="","",MAX(0,SUMIFS('CHIT REGISTER (ಮಾಸಿಕ ಚಿಟ್ ನೋಂದಣ'!$D$5:$D$502,'CHIT REGISTER (ಮಾಸಿಕ ಚಿಟ್ ನೋಂದಣ'!$F$5:$F$502,C248,'CHIT REGISTER (ಮಾಸಿಕ ಚಿಟ್ ನೋಂದಣ'!$G$5:$G$502,"UNPAID")-IF(F248="PAID",N(D248),0)))</f>
        <v/>
      </c>
      <c r="F248" s="3"/>
      <c r="G248" s="14"/>
      <c r="H248" s="1"/>
    </row>
    <row r="249" spans="1:8">
      <c r="A249" s="2"/>
      <c r="B249" s="12"/>
      <c r="C249" s="2"/>
      <c r="D249" s="13"/>
      <c r="E249" s="8" t="str">
        <f>IF(C249="","",MAX(0,SUMIFS('CHIT REGISTER (ಮಾಸಿಕ ಚಿಟ್ ನೋಂದಣ'!$D$5:$D$502,'CHIT REGISTER (ಮಾಸಿಕ ಚಿಟ್ ನೋಂದಣ'!$F$5:$F$502,C249,'CHIT REGISTER (ಮಾಸಿಕ ಚಿಟ್ ನೋಂದಣ'!$G$5:$G$502,"UNPAID")-IF(F249="PAID",N(D249),0)))</f>
        <v/>
      </c>
      <c r="F249" s="4"/>
      <c r="G249" s="12"/>
      <c r="H249" s="2"/>
    </row>
    <row r="250" spans="1:8">
      <c r="A250" s="1"/>
      <c r="B250" s="14"/>
      <c r="C250" s="1"/>
      <c r="D250" s="15"/>
      <c r="E250" s="9" t="str">
        <f>IF(C250="","",MAX(0,SUMIFS('CHIT REGISTER (ಮಾಸಿಕ ಚಿಟ್ ನೋಂದಣ'!$D$5:$D$502,'CHIT REGISTER (ಮಾಸಿಕ ಚಿಟ್ ನೋಂದಣ'!$F$5:$F$502,C250,'CHIT REGISTER (ಮಾಸಿಕ ಚಿಟ್ ನೋಂದಣ'!$G$5:$G$502,"UNPAID")-IF(F250="PAID",N(D250),0)))</f>
        <v/>
      </c>
      <c r="F250" s="3"/>
      <c r="G250" s="14"/>
      <c r="H250" s="1"/>
    </row>
    <row r="251" spans="1:8">
      <c r="A251" s="2"/>
      <c r="B251" s="12"/>
      <c r="C251" s="2"/>
      <c r="D251" s="13"/>
      <c r="E251" s="8" t="str">
        <f>IF(C251="","",MAX(0,SUMIFS('CHIT REGISTER (ಮಾಸಿಕ ಚಿಟ್ ನೋಂದಣ'!$D$5:$D$502,'CHIT REGISTER (ಮಾಸಿಕ ಚಿಟ್ ನೋಂದಣ'!$F$5:$F$502,C251,'CHIT REGISTER (ಮಾಸಿಕ ಚಿಟ್ ನೋಂದಣ'!$G$5:$G$502,"UNPAID")-IF(F251="PAID",N(D251),0)))</f>
        <v/>
      </c>
      <c r="F251" s="4"/>
      <c r="G251" s="12"/>
      <c r="H251" s="2"/>
    </row>
    <row r="252" spans="1:8">
      <c r="A252" s="1"/>
      <c r="B252" s="14"/>
      <c r="C252" s="1"/>
      <c r="D252" s="15"/>
      <c r="E252" s="9" t="str">
        <f>IF(C252="","",MAX(0,SUMIFS('CHIT REGISTER (ಮಾಸಿಕ ಚಿಟ್ ನೋಂದಣ'!$D$5:$D$502,'CHIT REGISTER (ಮಾಸಿಕ ಚಿಟ್ ನೋಂದಣ'!$F$5:$F$502,C252,'CHIT REGISTER (ಮಾಸಿಕ ಚಿಟ್ ನೋಂದಣ'!$G$5:$G$502,"UNPAID")-IF(F252="PAID",N(D252),0)))</f>
        <v/>
      </c>
      <c r="F252" s="3"/>
      <c r="G252" s="14"/>
      <c r="H252" s="1"/>
    </row>
    <row r="253" spans="1:8">
      <c r="A253" s="2"/>
      <c r="B253" s="12"/>
      <c r="C253" s="2"/>
      <c r="D253" s="13"/>
      <c r="E253" s="8" t="str">
        <f>IF(C253="","",MAX(0,SUMIFS('CHIT REGISTER (ಮಾಸಿಕ ಚಿಟ್ ನೋಂದಣ'!$D$5:$D$502,'CHIT REGISTER (ಮಾಸಿಕ ಚಿಟ್ ನೋಂದಣ'!$F$5:$F$502,C253,'CHIT REGISTER (ಮಾಸಿಕ ಚಿಟ್ ನೋಂದಣ'!$G$5:$G$502,"UNPAID")-IF(F253="PAID",N(D253),0)))</f>
        <v/>
      </c>
      <c r="F253" s="4"/>
      <c r="G253" s="12"/>
      <c r="H253" s="2"/>
    </row>
    <row r="254" spans="1:8">
      <c r="A254" s="1"/>
      <c r="B254" s="14"/>
      <c r="C254" s="1"/>
      <c r="D254" s="15"/>
      <c r="E254" s="9" t="str">
        <f>IF(C254="","",MAX(0,SUMIFS('CHIT REGISTER (ಮಾಸಿಕ ಚಿಟ್ ನೋಂದಣ'!$D$5:$D$502,'CHIT REGISTER (ಮಾಸಿಕ ಚಿಟ್ ನೋಂದಣ'!$F$5:$F$502,C254,'CHIT REGISTER (ಮಾಸಿಕ ಚಿಟ್ ನೋಂದಣ'!$G$5:$G$502,"UNPAID")-IF(F254="PAID",N(D254),0)))</f>
        <v/>
      </c>
      <c r="F254" s="3"/>
      <c r="G254" s="14"/>
      <c r="H254" s="1"/>
    </row>
    <row r="255" spans="1:8">
      <c r="A255" s="2"/>
      <c r="B255" s="12"/>
      <c r="C255" s="2"/>
      <c r="D255" s="13"/>
      <c r="E255" s="8" t="str">
        <f>IF(C255="","",MAX(0,SUMIFS('CHIT REGISTER (ಮಾಸಿಕ ಚಿಟ್ ನೋಂದಣ'!$D$5:$D$502,'CHIT REGISTER (ಮಾಸಿಕ ಚಿಟ್ ನೋಂದಣ'!$F$5:$F$502,C255,'CHIT REGISTER (ಮಾಸಿಕ ಚಿಟ್ ನೋಂದಣ'!$G$5:$G$502,"UNPAID")-IF(F255="PAID",N(D255),0)))</f>
        <v/>
      </c>
      <c r="F255" s="4"/>
      <c r="G255" s="12"/>
      <c r="H255" s="2"/>
    </row>
    <row r="256" spans="1:8">
      <c r="A256" s="1"/>
      <c r="B256" s="14"/>
      <c r="C256" s="1"/>
      <c r="D256" s="15"/>
      <c r="E256" s="9" t="str">
        <f>IF(C256="","",MAX(0,SUMIFS('CHIT REGISTER (ಮಾಸಿಕ ಚಿಟ್ ನೋಂದಣ'!$D$5:$D$502,'CHIT REGISTER (ಮಾಸಿಕ ಚಿಟ್ ನೋಂದಣ'!$F$5:$F$502,C256,'CHIT REGISTER (ಮಾಸಿಕ ಚಿಟ್ ನೋಂದಣ'!$G$5:$G$502,"UNPAID")-IF(F256="PAID",N(D256),0)))</f>
        <v/>
      </c>
      <c r="F256" s="3"/>
      <c r="G256" s="14"/>
      <c r="H256" s="1"/>
    </row>
    <row r="257" spans="1:8">
      <c r="A257" s="2"/>
      <c r="B257" s="12"/>
      <c r="C257" s="2"/>
      <c r="D257" s="13"/>
      <c r="E257" s="8" t="str">
        <f>IF(C257="","",MAX(0,SUMIFS('CHIT REGISTER (ಮಾಸಿಕ ಚಿಟ್ ನೋಂದಣ'!$D$5:$D$502,'CHIT REGISTER (ಮಾಸಿಕ ಚಿಟ್ ನೋಂದಣ'!$F$5:$F$502,C257,'CHIT REGISTER (ಮಾಸಿಕ ಚಿಟ್ ನೋಂದಣ'!$G$5:$G$502,"UNPAID")-IF(F257="PAID",N(D257),0)))</f>
        <v/>
      </c>
      <c r="F257" s="4"/>
      <c r="G257" s="12"/>
      <c r="H257" s="2"/>
    </row>
    <row r="258" spans="1:8">
      <c r="A258" s="1"/>
      <c r="B258" s="14"/>
      <c r="C258" s="1"/>
      <c r="D258" s="15"/>
      <c r="E258" s="9" t="str">
        <f>IF(C258="","",MAX(0,SUMIFS('CHIT REGISTER (ಮಾಸಿಕ ಚಿಟ್ ನೋಂದಣ'!$D$5:$D$502,'CHIT REGISTER (ಮಾಸಿಕ ಚಿಟ್ ನೋಂದಣ'!$F$5:$F$502,C258,'CHIT REGISTER (ಮಾಸಿಕ ಚಿಟ್ ನೋಂದಣ'!$G$5:$G$502,"UNPAID")-IF(F258="PAID",N(D258),0)))</f>
        <v/>
      </c>
      <c r="F258" s="3"/>
      <c r="G258" s="14"/>
      <c r="H258" s="1"/>
    </row>
    <row r="259" spans="1:8">
      <c r="A259" s="2"/>
      <c r="B259" s="12"/>
      <c r="C259" s="2"/>
      <c r="D259" s="13"/>
      <c r="E259" s="8" t="str">
        <f>IF(C259="","",MAX(0,SUMIFS('CHIT REGISTER (ಮಾಸಿಕ ಚಿಟ್ ನೋಂದಣ'!$D$5:$D$502,'CHIT REGISTER (ಮಾಸಿಕ ಚಿಟ್ ನೋಂದಣ'!$F$5:$F$502,C259,'CHIT REGISTER (ಮಾಸಿಕ ಚಿಟ್ ನೋಂದಣ'!$G$5:$G$502,"UNPAID")-IF(F259="PAID",N(D259),0)))</f>
        <v/>
      </c>
      <c r="F259" s="4"/>
      <c r="G259" s="12"/>
      <c r="H259" s="2"/>
    </row>
    <row r="260" spans="1:8">
      <c r="A260" s="1"/>
      <c r="B260" s="14"/>
      <c r="C260" s="1"/>
      <c r="D260" s="15"/>
      <c r="E260" s="9" t="str">
        <f>IF(C260="","",MAX(0,SUMIFS('CHIT REGISTER (ಮಾಸಿಕ ಚಿಟ್ ನೋಂದಣ'!$D$5:$D$502,'CHIT REGISTER (ಮಾಸಿಕ ಚಿಟ್ ನೋಂದಣ'!$F$5:$F$502,C260,'CHIT REGISTER (ಮಾಸಿಕ ಚಿಟ್ ನೋಂದಣ'!$G$5:$G$502,"UNPAID")-IF(F260="PAID",N(D260),0)))</f>
        <v/>
      </c>
      <c r="F260" s="3"/>
      <c r="G260" s="14"/>
      <c r="H260" s="1"/>
    </row>
    <row r="261" spans="1:8">
      <c r="A261" s="2"/>
      <c r="B261" s="12"/>
      <c r="C261" s="2"/>
      <c r="D261" s="13"/>
      <c r="E261" s="8" t="str">
        <f>IF(C261="","",MAX(0,SUMIFS('CHIT REGISTER (ಮಾಸಿಕ ಚಿಟ್ ನೋಂದಣ'!$D$5:$D$502,'CHIT REGISTER (ಮಾಸಿಕ ಚಿಟ್ ನೋಂದಣ'!$F$5:$F$502,C261,'CHIT REGISTER (ಮಾಸಿಕ ಚಿಟ್ ನೋಂದಣ'!$G$5:$G$502,"UNPAID")-IF(F261="PAID",N(D261),0)))</f>
        <v/>
      </c>
      <c r="F261" s="4"/>
      <c r="G261" s="12"/>
      <c r="H261" s="2"/>
    </row>
    <row r="262" spans="1:8">
      <c r="A262" s="1"/>
      <c r="B262" s="14"/>
      <c r="C262" s="1"/>
      <c r="D262" s="15"/>
      <c r="E262" s="9" t="str">
        <f>IF(C262="","",MAX(0,SUMIFS('CHIT REGISTER (ಮಾಸಿಕ ಚಿಟ್ ನೋಂದಣ'!$D$5:$D$502,'CHIT REGISTER (ಮಾಸಿಕ ಚಿಟ್ ನೋಂದಣ'!$F$5:$F$502,C262,'CHIT REGISTER (ಮಾಸಿಕ ಚಿಟ್ ನೋಂದಣ'!$G$5:$G$502,"UNPAID")-IF(F262="PAID",N(D262),0)))</f>
        <v/>
      </c>
      <c r="F262" s="3"/>
      <c r="G262" s="14"/>
      <c r="H262" s="1"/>
    </row>
    <row r="263" spans="1:8">
      <c r="A263" s="2"/>
      <c r="B263" s="12"/>
      <c r="C263" s="2"/>
      <c r="D263" s="13"/>
      <c r="E263" s="8" t="str">
        <f>IF(C263="","",MAX(0,SUMIFS('CHIT REGISTER (ಮಾಸಿಕ ಚಿಟ್ ನೋಂದಣ'!$D$5:$D$502,'CHIT REGISTER (ಮಾಸಿಕ ಚಿಟ್ ನೋಂದಣ'!$F$5:$F$502,C263,'CHIT REGISTER (ಮಾಸಿಕ ಚಿಟ್ ನೋಂದಣ'!$G$5:$G$502,"UNPAID")-IF(F263="PAID",N(D263),0)))</f>
        <v/>
      </c>
      <c r="F263" s="4"/>
      <c r="G263" s="12"/>
      <c r="H263" s="2"/>
    </row>
    <row r="264" spans="1:8">
      <c r="A264" s="1"/>
      <c r="B264" s="14"/>
      <c r="C264" s="1"/>
      <c r="D264" s="15"/>
      <c r="E264" s="9" t="str">
        <f>IF(C264="","",MAX(0,SUMIFS('CHIT REGISTER (ಮಾಸಿಕ ಚಿಟ್ ನೋಂದಣ'!$D$5:$D$502,'CHIT REGISTER (ಮಾಸಿಕ ಚಿಟ್ ನೋಂದಣ'!$F$5:$F$502,C264,'CHIT REGISTER (ಮಾಸಿಕ ಚಿಟ್ ನೋಂದಣ'!$G$5:$G$502,"UNPAID")-IF(F264="PAID",N(D264),0)))</f>
        <v/>
      </c>
      <c r="F264" s="3"/>
      <c r="G264" s="14"/>
      <c r="H264" s="1"/>
    </row>
    <row r="265" spans="1:8">
      <c r="A265" s="2"/>
      <c r="B265" s="12"/>
      <c r="C265" s="2"/>
      <c r="D265" s="13"/>
      <c r="E265" s="8" t="str">
        <f>IF(C265="","",MAX(0,SUMIFS('CHIT REGISTER (ಮಾಸಿಕ ಚಿಟ್ ನೋಂದಣ'!$D$5:$D$502,'CHIT REGISTER (ಮಾಸಿಕ ಚಿಟ್ ನೋಂದಣ'!$F$5:$F$502,C265,'CHIT REGISTER (ಮಾಸಿಕ ಚಿಟ್ ನೋಂದಣ'!$G$5:$G$502,"UNPAID")-IF(F265="PAID",N(D265),0)))</f>
        <v/>
      </c>
      <c r="F265" s="4"/>
      <c r="G265" s="12"/>
      <c r="H265" s="2"/>
    </row>
    <row r="266" spans="1:8">
      <c r="A266" s="1"/>
      <c r="B266" s="14"/>
      <c r="C266" s="1"/>
      <c r="D266" s="15"/>
      <c r="E266" s="9" t="str">
        <f>IF(C266="","",MAX(0,SUMIFS('CHIT REGISTER (ಮಾಸಿಕ ಚಿಟ್ ನೋಂದಣ'!$D$5:$D$502,'CHIT REGISTER (ಮಾಸಿಕ ಚಿಟ್ ನೋಂದಣ'!$F$5:$F$502,C266,'CHIT REGISTER (ಮಾಸಿಕ ಚಿಟ್ ನೋಂದಣ'!$G$5:$G$502,"UNPAID")-IF(F266="PAID",N(D266),0)))</f>
        <v/>
      </c>
      <c r="F266" s="3"/>
      <c r="G266" s="14"/>
      <c r="H266" s="1"/>
    </row>
    <row r="267" spans="1:8">
      <c r="A267" s="2"/>
      <c r="B267" s="12"/>
      <c r="C267" s="2"/>
      <c r="D267" s="13"/>
      <c r="E267" s="8" t="str">
        <f>IF(C267="","",MAX(0,SUMIFS('CHIT REGISTER (ಮಾಸಿಕ ಚಿಟ್ ನೋಂದಣ'!$D$5:$D$502,'CHIT REGISTER (ಮಾಸಿಕ ಚಿಟ್ ನೋಂದಣ'!$F$5:$F$502,C267,'CHIT REGISTER (ಮಾಸಿಕ ಚಿಟ್ ನೋಂದಣ'!$G$5:$G$502,"UNPAID")-IF(F267="PAID",N(D267),0)))</f>
        <v/>
      </c>
      <c r="F267" s="4"/>
      <c r="G267" s="12"/>
      <c r="H267" s="2"/>
    </row>
    <row r="268" spans="1:8">
      <c r="A268" s="1"/>
      <c r="B268" s="14"/>
      <c r="C268" s="1"/>
      <c r="D268" s="15"/>
      <c r="E268" s="9" t="str">
        <f>IF(C268="","",MAX(0,SUMIFS('CHIT REGISTER (ಮಾಸಿಕ ಚಿಟ್ ನೋಂದಣ'!$D$5:$D$502,'CHIT REGISTER (ಮಾಸಿಕ ಚಿಟ್ ನೋಂದಣ'!$F$5:$F$502,C268,'CHIT REGISTER (ಮಾಸಿಕ ಚಿಟ್ ನೋಂದಣ'!$G$5:$G$502,"UNPAID")-IF(F268="PAID",N(D268),0)))</f>
        <v/>
      </c>
      <c r="F268" s="3"/>
      <c r="G268" s="14"/>
      <c r="H268" s="1"/>
    </row>
    <row r="269" spans="1:8">
      <c r="A269" s="2"/>
      <c r="B269" s="12"/>
      <c r="C269" s="2"/>
      <c r="D269" s="13"/>
      <c r="E269" s="8" t="str">
        <f>IF(C269="","",MAX(0,SUMIFS('CHIT REGISTER (ಮಾಸಿಕ ಚಿಟ್ ನೋಂದಣ'!$D$5:$D$502,'CHIT REGISTER (ಮಾಸಿಕ ಚಿಟ್ ನೋಂದಣ'!$F$5:$F$502,C269,'CHIT REGISTER (ಮಾಸಿಕ ಚಿಟ್ ನೋಂದಣ'!$G$5:$G$502,"UNPAID")-IF(F269="PAID",N(D269),0)))</f>
        <v/>
      </c>
      <c r="F269" s="4"/>
      <c r="G269" s="12"/>
      <c r="H269" s="2"/>
    </row>
    <row r="270" spans="1:8">
      <c r="A270" s="1"/>
      <c r="B270" s="14"/>
      <c r="C270" s="1"/>
      <c r="D270" s="15"/>
      <c r="E270" s="9" t="str">
        <f>IF(C270="","",MAX(0,SUMIFS('CHIT REGISTER (ಮಾಸಿಕ ಚಿಟ್ ನೋಂದಣ'!$D$5:$D$502,'CHIT REGISTER (ಮಾಸಿಕ ಚಿಟ್ ನೋಂದಣ'!$F$5:$F$502,C270,'CHIT REGISTER (ಮಾಸಿಕ ಚಿಟ್ ನೋಂದಣ'!$G$5:$G$502,"UNPAID")-IF(F270="PAID",N(D270),0)))</f>
        <v/>
      </c>
      <c r="F270" s="3"/>
      <c r="G270" s="14"/>
      <c r="H270" s="1"/>
    </row>
    <row r="271" spans="1:8">
      <c r="A271" s="2"/>
      <c r="B271" s="12"/>
      <c r="C271" s="2"/>
      <c r="D271" s="13"/>
      <c r="E271" s="8" t="str">
        <f>IF(C271="","",MAX(0,SUMIFS('CHIT REGISTER (ಮಾಸಿಕ ಚಿಟ್ ನೋಂದಣ'!$D$5:$D$502,'CHIT REGISTER (ಮಾಸಿಕ ಚಿಟ್ ನೋಂದಣ'!$F$5:$F$502,C271,'CHIT REGISTER (ಮಾಸಿಕ ಚಿಟ್ ನೋಂದಣ'!$G$5:$G$502,"UNPAID")-IF(F271="PAID",N(D271),0)))</f>
        <v/>
      </c>
      <c r="F271" s="4"/>
      <c r="G271" s="12"/>
      <c r="H271" s="2"/>
    </row>
    <row r="272" spans="1:8">
      <c r="A272" s="1"/>
      <c r="B272" s="14"/>
      <c r="C272" s="1"/>
      <c r="D272" s="15"/>
      <c r="E272" s="9" t="str">
        <f>IF(C272="","",MAX(0,SUMIFS('CHIT REGISTER (ಮಾಸಿಕ ಚಿಟ್ ನೋಂದಣ'!$D$5:$D$502,'CHIT REGISTER (ಮಾಸಿಕ ಚಿಟ್ ನೋಂದಣ'!$F$5:$F$502,C272,'CHIT REGISTER (ಮಾಸಿಕ ಚಿಟ್ ನೋಂದಣ'!$G$5:$G$502,"UNPAID")-IF(F272="PAID",N(D272),0)))</f>
        <v/>
      </c>
      <c r="F272" s="3"/>
      <c r="G272" s="14"/>
      <c r="H272" s="1"/>
    </row>
    <row r="273" spans="1:8">
      <c r="A273" s="2"/>
      <c r="B273" s="12"/>
      <c r="C273" s="2"/>
      <c r="D273" s="13"/>
      <c r="E273" s="8" t="str">
        <f>IF(C273="","",MAX(0,SUMIFS('CHIT REGISTER (ಮಾಸಿಕ ಚಿಟ್ ನೋಂದಣ'!$D$5:$D$502,'CHIT REGISTER (ಮಾಸಿಕ ಚಿಟ್ ನೋಂದಣ'!$F$5:$F$502,C273,'CHIT REGISTER (ಮಾಸಿಕ ಚಿಟ್ ನೋಂದಣ'!$G$5:$G$502,"UNPAID")-IF(F273="PAID",N(D273),0)))</f>
        <v/>
      </c>
      <c r="F273" s="4"/>
      <c r="G273" s="12"/>
      <c r="H273" s="2"/>
    </row>
    <row r="274" spans="1:8">
      <c r="A274" s="1"/>
      <c r="B274" s="14"/>
      <c r="C274" s="1"/>
      <c r="D274" s="15"/>
      <c r="E274" s="9" t="str">
        <f>IF(C274="","",MAX(0,SUMIFS('CHIT REGISTER (ಮಾಸಿಕ ಚಿಟ್ ನೋಂದಣ'!$D$5:$D$502,'CHIT REGISTER (ಮಾಸಿಕ ಚಿಟ್ ನೋಂದಣ'!$F$5:$F$502,C274,'CHIT REGISTER (ಮಾಸಿಕ ಚಿಟ್ ನೋಂದಣ'!$G$5:$G$502,"UNPAID")-IF(F274="PAID",N(D274),0)))</f>
        <v/>
      </c>
      <c r="F274" s="3"/>
      <c r="G274" s="14"/>
      <c r="H274" s="1"/>
    </row>
    <row r="275" spans="1:8">
      <c r="A275" s="2"/>
      <c r="B275" s="12"/>
      <c r="C275" s="2"/>
      <c r="D275" s="13"/>
      <c r="E275" s="8" t="str">
        <f>IF(C275="","",MAX(0,SUMIFS('CHIT REGISTER (ಮಾಸಿಕ ಚಿಟ್ ನೋಂದಣ'!$D$5:$D$502,'CHIT REGISTER (ಮಾಸಿಕ ಚಿಟ್ ನೋಂದಣ'!$F$5:$F$502,C275,'CHIT REGISTER (ಮಾಸಿಕ ಚಿಟ್ ನೋಂದಣ'!$G$5:$G$502,"UNPAID")-IF(F275="PAID",N(D275),0)))</f>
        <v/>
      </c>
      <c r="F275" s="4"/>
      <c r="G275" s="12"/>
      <c r="H275" s="2"/>
    </row>
    <row r="276" spans="1:8">
      <c r="A276" s="1"/>
      <c r="B276" s="14"/>
      <c r="C276" s="1"/>
      <c r="D276" s="15"/>
      <c r="E276" s="9" t="str">
        <f>IF(C276="","",MAX(0,SUMIFS('CHIT REGISTER (ಮಾಸಿಕ ಚಿಟ್ ನೋಂದಣ'!$D$5:$D$502,'CHIT REGISTER (ಮಾಸಿಕ ಚಿಟ್ ನೋಂದಣ'!$F$5:$F$502,C276,'CHIT REGISTER (ಮಾಸಿಕ ಚಿಟ್ ನೋಂದಣ'!$G$5:$G$502,"UNPAID")-IF(F276="PAID",N(D276),0)))</f>
        <v/>
      </c>
      <c r="F276" s="3"/>
      <c r="G276" s="14"/>
      <c r="H276" s="1"/>
    </row>
    <row r="277" spans="1:8">
      <c r="A277" s="2"/>
      <c r="B277" s="12"/>
      <c r="C277" s="2"/>
      <c r="D277" s="13"/>
      <c r="E277" s="8" t="str">
        <f>IF(C277="","",MAX(0,SUMIFS('CHIT REGISTER (ಮಾಸಿಕ ಚಿಟ್ ನೋಂದಣ'!$D$5:$D$502,'CHIT REGISTER (ಮಾಸಿಕ ಚಿಟ್ ನೋಂದಣ'!$F$5:$F$502,C277,'CHIT REGISTER (ಮಾಸಿಕ ಚಿಟ್ ನೋಂದಣ'!$G$5:$G$502,"UNPAID")-IF(F277="PAID",N(D277),0)))</f>
        <v/>
      </c>
      <c r="F277" s="4"/>
      <c r="G277" s="12"/>
      <c r="H277" s="2"/>
    </row>
    <row r="278" spans="1:8">
      <c r="A278" s="1"/>
      <c r="B278" s="14"/>
      <c r="C278" s="1"/>
      <c r="D278" s="15"/>
      <c r="E278" s="9" t="str">
        <f>IF(C278="","",MAX(0,SUMIFS('CHIT REGISTER (ಮಾಸಿಕ ಚಿಟ್ ನೋಂದಣ'!$D$5:$D$502,'CHIT REGISTER (ಮಾಸಿಕ ಚಿಟ್ ನೋಂದಣ'!$F$5:$F$502,C278,'CHIT REGISTER (ಮಾಸಿಕ ಚಿಟ್ ನೋಂದಣ'!$G$5:$G$502,"UNPAID")-IF(F278="PAID",N(D278),0)))</f>
        <v/>
      </c>
      <c r="F278" s="3"/>
      <c r="G278" s="14"/>
      <c r="H278" s="1"/>
    </row>
    <row r="279" spans="1:8">
      <c r="A279" s="2"/>
      <c r="B279" s="12"/>
      <c r="C279" s="2"/>
      <c r="D279" s="13"/>
      <c r="E279" s="8" t="str">
        <f>IF(C279="","",MAX(0,SUMIFS('CHIT REGISTER (ಮಾಸಿಕ ಚಿಟ್ ನೋಂದಣ'!$D$5:$D$502,'CHIT REGISTER (ಮಾಸಿಕ ಚಿಟ್ ನೋಂದಣ'!$F$5:$F$502,C279,'CHIT REGISTER (ಮಾಸಿಕ ಚಿಟ್ ನೋಂದಣ'!$G$5:$G$502,"UNPAID")-IF(F279="PAID",N(D279),0)))</f>
        <v/>
      </c>
      <c r="F279" s="4"/>
      <c r="G279" s="12"/>
      <c r="H279" s="2"/>
    </row>
    <row r="280" spans="1:8">
      <c r="A280" s="1"/>
      <c r="B280" s="14"/>
      <c r="C280" s="1"/>
      <c r="D280" s="15"/>
      <c r="E280" s="9" t="str">
        <f>IF(C280="","",MAX(0,SUMIFS('CHIT REGISTER (ಮಾಸಿಕ ಚಿಟ್ ನೋಂದಣ'!$D$5:$D$502,'CHIT REGISTER (ಮಾಸಿಕ ಚಿಟ್ ನೋಂದಣ'!$F$5:$F$502,C280,'CHIT REGISTER (ಮಾಸಿಕ ಚಿಟ್ ನೋಂದಣ'!$G$5:$G$502,"UNPAID")-IF(F280="PAID",N(D280),0)))</f>
        <v/>
      </c>
      <c r="F280" s="3"/>
      <c r="G280" s="14"/>
      <c r="H280" s="1"/>
    </row>
    <row r="281" spans="1:8">
      <c r="A281" s="2"/>
      <c r="B281" s="12"/>
      <c r="C281" s="2"/>
      <c r="D281" s="13"/>
      <c r="E281" s="8" t="str">
        <f>IF(C281="","",MAX(0,SUMIFS('CHIT REGISTER (ಮಾಸಿಕ ಚಿಟ್ ನೋಂದಣ'!$D$5:$D$502,'CHIT REGISTER (ಮಾಸಿಕ ಚಿಟ್ ನೋಂದಣ'!$F$5:$F$502,C281,'CHIT REGISTER (ಮಾಸಿಕ ಚಿಟ್ ನೋಂದಣ'!$G$5:$G$502,"UNPAID")-IF(F281="PAID",N(D281),0)))</f>
        <v/>
      </c>
      <c r="F281" s="4"/>
      <c r="G281" s="12"/>
      <c r="H281" s="2"/>
    </row>
    <row r="282" spans="1:8">
      <c r="A282" s="1"/>
      <c r="B282" s="14"/>
      <c r="C282" s="1"/>
      <c r="D282" s="15"/>
      <c r="E282" s="9" t="str">
        <f>IF(C282="","",MAX(0,SUMIFS('CHIT REGISTER (ಮಾಸಿಕ ಚಿಟ್ ನೋಂದಣ'!$D$5:$D$502,'CHIT REGISTER (ಮಾಸಿಕ ಚಿಟ್ ನೋಂದಣ'!$F$5:$F$502,C282,'CHIT REGISTER (ಮಾಸಿಕ ಚಿಟ್ ನೋಂದಣ'!$G$5:$G$502,"UNPAID")-IF(F282="PAID",N(D282),0)))</f>
        <v/>
      </c>
      <c r="F282" s="3"/>
      <c r="G282" s="14"/>
      <c r="H282" s="1"/>
    </row>
    <row r="283" spans="1:8">
      <c r="A283" s="2"/>
      <c r="B283" s="12"/>
      <c r="C283" s="2"/>
      <c r="D283" s="13"/>
      <c r="E283" s="8" t="str">
        <f>IF(C283="","",MAX(0,SUMIFS('CHIT REGISTER (ಮಾಸಿಕ ಚಿಟ್ ನೋಂದಣ'!$D$5:$D$502,'CHIT REGISTER (ಮಾಸಿಕ ಚಿಟ್ ನೋಂದಣ'!$F$5:$F$502,C283,'CHIT REGISTER (ಮಾಸಿಕ ಚಿಟ್ ನೋಂದಣ'!$G$5:$G$502,"UNPAID")-IF(F283="PAID",N(D283),0)))</f>
        <v/>
      </c>
      <c r="F283" s="4"/>
      <c r="G283" s="12"/>
      <c r="H283" s="2"/>
    </row>
    <row r="284" spans="1:8">
      <c r="A284" s="1"/>
      <c r="B284" s="14"/>
      <c r="C284" s="1"/>
      <c r="D284" s="15"/>
      <c r="E284" s="9" t="str">
        <f>IF(C284="","",MAX(0,SUMIFS('CHIT REGISTER (ಮಾಸಿಕ ಚಿಟ್ ನೋಂದಣ'!$D$5:$D$502,'CHIT REGISTER (ಮಾಸಿಕ ಚಿಟ್ ನೋಂದಣ'!$F$5:$F$502,C284,'CHIT REGISTER (ಮಾಸಿಕ ಚಿಟ್ ನೋಂದಣ'!$G$5:$G$502,"UNPAID")-IF(F284="PAID",N(D284),0)))</f>
        <v/>
      </c>
      <c r="F284" s="3"/>
      <c r="G284" s="14"/>
      <c r="H284" s="1"/>
    </row>
    <row r="285" spans="1:8">
      <c r="A285" s="2"/>
      <c r="B285" s="12"/>
      <c r="C285" s="2"/>
      <c r="D285" s="13"/>
      <c r="E285" s="8" t="str">
        <f>IF(C285="","",MAX(0,SUMIFS('CHIT REGISTER (ಮಾಸಿಕ ಚಿಟ್ ನೋಂದಣ'!$D$5:$D$502,'CHIT REGISTER (ಮಾಸಿಕ ಚಿಟ್ ನೋಂದಣ'!$F$5:$F$502,C285,'CHIT REGISTER (ಮಾಸಿಕ ಚಿಟ್ ನೋಂದಣ'!$G$5:$G$502,"UNPAID")-IF(F285="PAID",N(D285),0)))</f>
        <v/>
      </c>
      <c r="F285" s="4"/>
      <c r="G285" s="12"/>
      <c r="H285" s="2"/>
    </row>
    <row r="286" spans="1:8">
      <c r="A286" s="1"/>
      <c r="B286" s="14"/>
      <c r="C286" s="1"/>
      <c r="D286" s="15"/>
      <c r="E286" s="9" t="str">
        <f>IF(C286="","",MAX(0,SUMIFS('CHIT REGISTER (ಮಾಸಿಕ ಚಿಟ್ ನೋಂದಣ'!$D$5:$D$502,'CHIT REGISTER (ಮಾಸಿಕ ಚಿಟ್ ನೋಂದಣ'!$F$5:$F$502,C286,'CHIT REGISTER (ಮಾಸಿಕ ಚಿಟ್ ನೋಂದಣ'!$G$5:$G$502,"UNPAID")-IF(F286="PAID",N(D286),0)))</f>
        <v/>
      </c>
      <c r="F286" s="3"/>
      <c r="G286" s="14"/>
      <c r="H286" s="1"/>
    </row>
    <row r="287" spans="1:8">
      <c r="A287" s="2"/>
      <c r="B287" s="12"/>
      <c r="C287" s="2"/>
      <c r="D287" s="13"/>
      <c r="E287" s="8" t="str">
        <f>IF(C287="","",MAX(0,SUMIFS('CHIT REGISTER (ಮಾಸಿಕ ಚಿಟ್ ನೋಂದಣ'!$D$5:$D$502,'CHIT REGISTER (ಮಾಸಿಕ ಚಿಟ್ ನೋಂದಣ'!$F$5:$F$502,C287,'CHIT REGISTER (ಮಾಸಿಕ ಚಿಟ್ ನೋಂದಣ'!$G$5:$G$502,"UNPAID")-IF(F287="PAID",N(D287),0)))</f>
        <v/>
      </c>
      <c r="F287" s="4"/>
      <c r="G287" s="12"/>
      <c r="H287" s="2"/>
    </row>
    <row r="288" spans="1:8">
      <c r="A288" s="1"/>
      <c r="B288" s="14"/>
      <c r="C288" s="1"/>
      <c r="D288" s="15"/>
      <c r="E288" s="9" t="str">
        <f>IF(C288="","",MAX(0,SUMIFS('CHIT REGISTER (ಮಾಸಿಕ ಚಿಟ್ ನೋಂದಣ'!$D$5:$D$502,'CHIT REGISTER (ಮಾಸಿಕ ಚಿಟ್ ನೋಂದಣ'!$F$5:$F$502,C288,'CHIT REGISTER (ಮಾಸಿಕ ಚಿಟ್ ನೋಂದಣ'!$G$5:$G$502,"UNPAID")-IF(F288="PAID",N(D288),0)))</f>
        <v/>
      </c>
      <c r="F288" s="3"/>
      <c r="G288" s="14"/>
      <c r="H288" s="1"/>
    </row>
    <row r="289" spans="1:8">
      <c r="A289" s="2"/>
      <c r="B289" s="12"/>
      <c r="C289" s="2"/>
      <c r="D289" s="13"/>
      <c r="E289" s="8" t="str">
        <f>IF(C289="","",MAX(0,SUMIFS('CHIT REGISTER (ಮಾಸಿಕ ಚಿಟ್ ನೋಂದಣ'!$D$5:$D$502,'CHIT REGISTER (ಮಾಸಿಕ ಚಿಟ್ ನೋಂದಣ'!$F$5:$F$502,C289,'CHIT REGISTER (ಮಾಸಿಕ ಚಿಟ್ ನೋಂದಣ'!$G$5:$G$502,"UNPAID")-IF(F289="PAID",N(D289),0)))</f>
        <v/>
      </c>
      <c r="F289" s="4"/>
      <c r="G289" s="12"/>
      <c r="H289" s="2"/>
    </row>
    <row r="290" spans="1:8">
      <c r="A290" s="1"/>
      <c r="B290" s="14"/>
      <c r="C290" s="1"/>
      <c r="D290" s="15"/>
      <c r="E290" s="9" t="str">
        <f>IF(C290="","",MAX(0,SUMIFS('CHIT REGISTER (ಮಾಸಿಕ ಚಿಟ್ ನೋಂದಣ'!$D$5:$D$502,'CHIT REGISTER (ಮಾಸಿಕ ಚಿಟ್ ನೋಂದಣ'!$F$5:$F$502,C290,'CHIT REGISTER (ಮಾಸಿಕ ಚಿಟ್ ನೋಂದಣ'!$G$5:$G$502,"UNPAID")-IF(F290="PAID",N(D290),0)))</f>
        <v/>
      </c>
      <c r="F290" s="3"/>
      <c r="G290" s="14"/>
      <c r="H290" s="1"/>
    </row>
    <row r="291" spans="1:8">
      <c r="A291" s="2"/>
      <c r="B291" s="12"/>
      <c r="C291" s="2"/>
      <c r="D291" s="13"/>
      <c r="E291" s="8" t="str">
        <f>IF(C291="","",MAX(0,SUMIFS('CHIT REGISTER (ಮಾಸಿಕ ಚಿಟ್ ನೋಂದಣ'!$D$5:$D$502,'CHIT REGISTER (ಮಾಸಿಕ ಚಿಟ್ ನೋಂದಣ'!$F$5:$F$502,C291,'CHIT REGISTER (ಮಾಸಿಕ ಚಿಟ್ ನೋಂದಣ'!$G$5:$G$502,"UNPAID")-IF(F291="PAID",N(D291),0)))</f>
        <v/>
      </c>
      <c r="F291" s="4"/>
      <c r="G291" s="12"/>
      <c r="H291" s="2"/>
    </row>
    <row r="292" spans="1:8">
      <c r="A292" s="1"/>
      <c r="B292" s="14"/>
      <c r="C292" s="1"/>
      <c r="D292" s="15"/>
      <c r="E292" s="9" t="str">
        <f>IF(C292="","",MAX(0,SUMIFS('CHIT REGISTER (ಮಾಸಿಕ ಚಿಟ್ ನೋಂದಣ'!$D$5:$D$502,'CHIT REGISTER (ಮಾಸಿಕ ಚಿಟ್ ನೋಂದಣ'!$F$5:$F$502,C292,'CHIT REGISTER (ಮಾಸಿಕ ಚಿಟ್ ನೋಂದಣ'!$G$5:$G$502,"UNPAID")-IF(F292="PAID",N(D292),0)))</f>
        <v/>
      </c>
      <c r="F292" s="3"/>
      <c r="G292" s="14"/>
      <c r="H292" s="1"/>
    </row>
    <row r="293" spans="1:8">
      <c r="A293" s="2"/>
      <c r="B293" s="12"/>
      <c r="C293" s="2"/>
      <c r="D293" s="13"/>
      <c r="E293" s="8" t="str">
        <f>IF(C293="","",MAX(0,SUMIFS('CHIT REGISTER (ಮಾಸಿಕ ಚಿಟ್ ನೋಂದಣ'!$D$5:$D$502,'CHIT REGISTER (ಮಾಸಿಕ ಚಿಟ್ ನೋಂದಣ'!$F$5:$F$502,C293,'CHIT REGISTER (ಮಾಸಿಕ ಚಿಟ್ ನೋಂದಣ'!$G$5:$G$502,"UNPAID")-IF(F293="PAID",N(D293),0)))</f>
        <v/>
      </c>
      <c r="F293" s="4"/>
      <c r="G293" s="12"/>
      <c r="H293" s="2"/>
    </row>
    <row r="294" spans="1:8">
      <c r="A294" s="1"/>
      <c r="B294" s="14"/>
      <c r="C294" s="1"/>
      <c r="D294" s="15"/>
      <c r="E294" s="9" t="str">
        <f>IF(C294="","",MAX(0,SUMIFS('CHIT REGISTER (ಮಾಸಿಕ ಚಿಟ್ ನೋಂದಣ'!$D$5:$D$502,'CHIT REGISTER (ಮಾಸಿಕ ಚಿಟ್ ನೋಂದಣ'!$F$5:$F$502,C294,'CHIT REGISTER (ಮಾಸಿಕ ಚಿಟ್ ನೋಂದಣ'!$G$5:$G$502,"UNPAID")-IF(F294="PAID",N(D294),0)))</f>
        <v/>
      </c>
      <c r="F294" s="3"/>
      <c r="G294" s="14"/>
      <c r="H294" s="1"/>
    </row>
    <row r="295" spans="1:8">
      <c r="A295" s="2"/>
      <c r="B295" s="12"/>
      <c r="C295" s="2"/>
      <c r="D295" s="13"/>
      <c r="E295" s="8" t="str">
        <f>IF(C295="","",MAX(0,SUMIFS('CHIT REGISTER (ಮಾಸಿಕ ಚಿಟ್ ನೋಂದಣ'!$D$5:$D$502,'CHIT REGISTER (ಮಾಸಿಕ ಚಿಟ್ ನೋಂದಣ'!$F$5:$F$502,C295,'CHIT REGISTER (ಮಾಸಿಕ ಚಿಟ್ ನೋಂದಣ'!$G$5:$G$502,"UNPAID")-IF(F295="PAID",N(D295),0)))</f>
        <v/>
      </c>
      <c r="F295" s="4"/>
      <c r="G295" s="12"/>
      <c r="H295" s="2"/>
    </row>
    <row r="296" spans="1:8">
      <c r="A296" s="1"/>
      <c r="B296" s="14"/>
      <c r="C296" s="1"/>
      <c r="D296" s="15"/>
      <c r="E296" s="9" t="str">
        <f>IF(C296="","",MAX(0,SUMIFS('CHIT REGISTER (ಮಾಸಿಕ ಚಿಟ್ ನೋಂದಣ'!$D$5:$D$502,'CHIT REGISTER (ಮಾಸಿಕ ಚಿಟ್ ನೋಂದಣ'!$F$5:$F$502,C296,'CHIT REGISTER (ಮಾಸಿಕ ಚಿಟ್ ನೋಂದಣ'!$G$5:$G$502,"UNPAID")-IF(F296="PAID",N(D296),0)))</f>
        <v/>
      </c>
      <c r="F296" s="3"/>
      <c r="G296" s="14"/>
      <c r="H296" s="1"/>
    </row>
    <row r="297" spans="1:8">
      <c r="A297" s="2"/>
      <c r="B297" s="12"/>
      <c r="C297" s="2"/>
      <c r="D297" s="13"/>
      <c r="E297" s="8" t="str">
        <f>IF(C297="","",MAX(0,SUMIFS('CHIT REGISTER (ಮಾಸಿಕ ಚಿಟ್ ನೋಂದಣ'!$D$5:$D$502,'CHIT REGISTER (ಮಾಸಿಕ ಚಿಟ್ ನೋಂದಣ'!$F$5:$F$502,C297,'CHIT REGISTER (ಮಾಸಿಕ ಚಿಟ್ ನೋಂದಣ'!$G$5:$G$502,"UNPAID")-IF(F297="PAID",N(D297),0)))</f>
        <v/>
      </c>
      <c r="F297" s="4"/>
      <c r="G297" s="12"/>
      <c r="H297" s="2"/>
    </row>
    <row r="298" spans="1:8">
      <c r="A298" s="1"/>
      <c r="B298" s="14"/>
      <c r="C298" s="1"/>
      <c r="D298" s="15"/>
      <c r="E298" s="9" t="str">
        <f>IF(C298="","",MAX(0,SUMIFS('CHIT REGISTER (ಮಾಸಿಕ ಚಿಟ್ ನೋಂದಣ'!$D$5:$D$502,'CHIT REGISTER (ಮಾಸಿಕ ಚಿಟ್ ನೋಂದಣ'!$F$5:$F$502,C298,'CHIT REGISTER (ಮಾಸಿಕ ಚಿಟ್ ನೋಂದಣ'!$G$5:$G$502,"UNPAID")-IF(F298="PAID",N(D298),0)))</f>
        <v/>
      </c>
      <c r="F298" s="3"/>
      <c r="G298" s="14"/>
      <c r="H298" s="1"/>
    </row>
    <row r="299" spans="1:8">
      <c r="A299" s="2"/>
      <c r="B299" s="12"/>
      <c r="C299" s="2"/>
      <c r="D299" s="13"/>
      <c r="E299" s="8" t="str">
        <f>IF(C299="","",MAX(0,SUMIFS('CHIT REGISTER (ಮಾಸಿಕ ಚಿಟ್ ನೋಂದಣ'!$D$5:$D$502,'CHIT REGISTER (ಮಾಸಿಕ ಚಿಟ್ ನೋಂದಣ'!$F$5:$F$502,C299,'CHIT REGISTER (ಮಾಸಿಕ ಚಿಟ್ ನೋಂದಣ'!$G$5:$G$502,"UNPAID")-IF(F299="PAID",N(D299),0)))</f>
        <v/>
      </c>
      <c r="F299" s="4"/>
      <c r="G299" s="12"/>
      <c r="H299" s="2"/>
    </row>
    <row r="300" spans="1:8">
      <c r="A300" s="1"/>
      <c r="B300" s="14"/>
      <c r="C300" s="1"/>
      <c r="D300" s="15"/>
      <c r="E300" s="9" t="str">
        <f>IF(C300="","",MAX(0,SUMIFS('CHIT REGISTER (ಮಾಸಿಕ ಚಿಟ್ ನೋಂದಣ'!$D$5:$D$502,'CHIT REGISTER (ಮಾಸಿಕ ಚಿಟ್ ನೋಂದಣ'!$F$5:$F$502,C300,'CHIT REGISTER (ಮಾಸಿಕ ಚಿಟ್ ನೋಂದಣ'!$G$5:$G$502,"UNPAID")-IF(F300="PAID",N(D300),0)))</f>
        <v/>
      </c>
      <c r="F300" s="3"/>
      <c r="G300" s="14"/>
      <c r="H300" s="1"/>
    </row>
    <row r="301" spans="1:8">
      <c r="A301" s="2"/>
      <c r="B301" s="12"/>
      <c r="C301" s="2"/>
      <c r="D301" s="13"/>
      <c r="E301" s="8" t="str">
        <f>IF(C301="","",MAX(0,SUMIFS('CHIT REGISTER (ಮಾಸಿಕ ಚಿಟ್ ನೋಂದಣ'!$D$5:$D$502,'CHIT REGISTER (ಮಾಸಿಕ ಚಿಟ್ ನೋಂದಣ'!$F$5:$F$502,C301,'CHIT REGISTER (ಮಾಸಿಕ ಚಿಟ್ ನೋಂದಣ'!$G$5:$G$502,"UNPAID")-IF(F301="PAID",N(D301),0)))</f>
        <v/>
      </c>
      <c r="F301" s="4"/>
      <c r="G301" s="12"/>
      <c r="H301" s="2"/>
    </row>
    <row r="302" spans="1:8">
      <c r="A302" s="1"/>
      <c r="B302" s="14"/>
      <c r="C302" s="1"/>
      <c r="D302" s="15"/>
      <c r="E302" s="9" t="str">
        <f>IF(C302="","",MAX(0,SUMIFS('CHIT REGISTER (ಮಾಸಿಕ ಚಿಟ್ ನೋಂದಣ'!$D$5:$D$502,'CHIT REGISTER (ಮಾಸಿಕ ಚಿಟ್ ನೋಂದಣ'!$F$5:$F$502,C302,'CHIT REGISTER (ಮಾಸಿಕ ಚಿಟ್ ನೋಂದಣ'!$G$5:$G$502,"UNPAID")-IF(F302="PAID",N(D302),0)))</f>
        <v/>
      </c>
      <c r="F302" s="3"/>
      <c r="G302" s="14"/>
      <c r="H302" s="1"/>
    </row>
    <row r="303" spans="1:8">
      <c r="A303" s="2"/>
      <c r="B303" s="12"/>
      <c r="C303" s="2"/>
      <c r="D303" s="13"/>
      <c r="E303" s="8" t="str">
        <f>IF(C303="","",MAX(0,SUMIFS('CHIT REGISTER (ಮಾಸಿಕ ಚಿಟ್ ನೋಂದಣ'!$D$5:$D$502,'CHIT REGISTER (ಮಾಸಿಕ ಚಿಟ್ ನೋಂದಣ'!$F$5:$F$502,C303,'CHIT REGISTER (ಮಾಸಿಕ ಚಿಟ್ ನೋಂದಣ'!$G$5:$G$502,"UNPAID")-IF(F303="PAID",N(D303),0)))</f>
        <v/>
      </c>
      <c r="F303" s="4"/>
      <c r="G303" s="12"/>
      <c r="H303" s="2"/>
    </row>
    <row r="304" spans="1:8">
      <c r="A304" s="1"/>
      <c r="B304" s="14"/>
      <c r="C304" s="1"/>
      <c r="D304" s="15"/>
      <c r="E304" s="9" t="str">
        <f>IF(C304="","",MAX(0,SUMIFS('CHIT REGISTER (ಮಾಸಿಕ ಚಿಟ್ ನೋಂದಣ'!$D$5:$D$502,'CHIT REGISTER (ಮಾಸಿಕ ಚಿಟ್ ನೋಂದಣ'!$F$5:$F$502,C304,'CHIT REGISTER (ಮಾಸಿಕ ಚಿಟ್ ನೋಂದಣ'!$G$5:$G$502,"UNPAID")-IF(F304="PAID",N(D304),0)))</f>
        <v/>
      </c>
      <c r="F304" s="3"/>
      <c r="G304" s="14"/>
      <c r="H304" s="1"/>
    </row>
    <row r="305" spans="1:8">
      <c r="A305" s="2"/>
      <c r="B305" s="12"/>
      <c r="C305" s="2"/>
      <c r="D305" s="13"/>
      <c r="E305" s="8" t="str">
        <f>IF(C305="","",MAX(0,SUMIFS('CHIT REGISTER (ಮಾಸಿಕ ಚಿಟ್ ನೋಂದಣ'!$D$5:$D$502,'CHIT REGISTER (ಮಾಸಿಕ ಚಿಟ್ ನೋಂದಣ'!$F$5:$F$502,C305,'CHIT REGISTER (ಮಾಸಿಕ ಚಿಟ್ ನೋಂದಣ'!$G$5:$G$502,"UNPAID")-IF(F305="PAID",N(D305),0)))</f>
        <v/>
      </c>
      <c r="F305" s="4"/>
      <c r="G305" s="12"/>
      <c r="H305" s="2"/>
    </row>
    <row r="306" spans="1:8">
      <c r="A306" s="1"/>
      <c r="B306" s="14"/>
      <c r="C306" s="1"/>
      <c r="D306" s="15"/>
      <c r="E306" s="9" t="str">
        <f>IF(C306="","",MAX(0,SUMIFS('CHIT REGISTER (ಮಾಸಿಕ ಚಿಟ್ ನೋಂದಣ'!$D$5:$D$502,'CHIT REGISTER (ಮಾಸಿಕ ಚಿಟ್ ನೋಂದಣ'!$F$5:$F$502,C306,'CHIT REGISTER (ಮಾಸಿಕ ಚಿಟ್ ನೋಂದಣ'!$G$5:$G$502,"UNPAID")-IF(F306="PAID",N(D306),0)))</f>
        <v/>
      </c>
      <c r="F306" s="3"/>
      <c r="G306" s="14"/>
      <c r="H306" s="1"/>
    </row>
    <row r="307" spans="1:8">
      <c r="A307" s="2"/>
      <c r="B307" s="12"/>
      <c r="C307" s="2"/>
      <c r="D307" s="13"/>
      <c r="E307" s="8" t="str">
        <f>IF(C307="","",MAX(0,SUMIFS('CHIT REGISTER (ಮಾಸಿಕ ಚಿಟ್ ನೋಂದಣ'!$D$5:$D$502,'CHIT REGISTER (ಮಾಸಿಕ ಚಿಟ್ ನೋಂದಣ'!$F$5:$F$502,C307,'CHIT REGISTER (ಮಾಸಿಕ ಚಿಟ್ ನೋಂದಣ'!$G$5:$G$502,"UNPAID")-IF(F307="PAID",N(D307),0)))</f>
        <v/>
      </c>
      <c r="F307" s="4"/>
      <c r="G307" s="12"/>
      <c r="H307" s="2"/>
    </row>
    <row r="308" spans="1:8">
      <c r="A308" s="1"/>
      <c r="B308" s="14"/>
      <c r="C308" s="1"/>
      <c r="D308" s="15"/>
      <c r="E308" s="9" t="str">
        <f>IF(C308="","",MAX(0,SUMIFS('CHIT REGISTER (ಮಾಸಿಕ ಚಿಟ್ ನೋಂದಣ'!$D$5:$D$502,'CHIT REGISTER (ಮಾಸಿಕ ಚಿಟ್ ನೋಂದಣ'!$F$5:$F$502,C308,'CHIT REGISTER (ಮಾಸಿಕ ಚಿಟ್ ನೋಂದಣ'!$G$5:$G$502,"UNPAID")-IF(F308="PAID",N(D308),0)))</f>
        <v/>
      </c>
      <c r="F308" s="3"/>
      <c r="G308" s="14"/>
      <c r="H308" s="1"/>
    </row>
    <row r="309" spans="1:8">
      <c r="A309" s="2"/>
      <c r="B309" s="12"/>
      <c r="C309" s="2"/>
      <c r="D309" s="13"/>
      <c r="E309" s="8" t="str">
        <f>IF(C309="","",MAX(0,SUMIFS('CHIT REGISTER (ಮಾಸಿಕ ಚಿಟ್ ನೋಂದಣ'!$D$5:$D$502,'CHIT REGISTER (ಮಾಸಿಕ ಚಿಟ್ ನೋಂದಣ'!$F$5:$F$502,C309,'CHIT REGISTER (ಮಾಸಿಕ ಚಿಟ್ ನೋಂದಣ'!$G$5:$G$502,"UNPAID")-IF(F309="PAID",N(D309),0)))</f>
        <v/>
      </c>
      <c r="F309" s="4"/>
      <c r="G309" s="12"/>
      <c r="H309" s="2"/>
    </row>
    <row r="310" spans="1:8">
      <c r="A310" s="1"/>
      <c r="B310" s="14"/>
      <c r="C310" s="1"/>
      <c r="D310" s="15"/>
      <c r="E310" s="9" t="str">
        <f>IF(C310="","",MAX(0,SUMIFS('CHIT REGISTER (ಮಾಸಿಕ ಚಿಟ್ ನೋಂದಣ'!$D$5:$D$502,'CHIT REGISTER (ಮಾಸಿಕ ಚಿಟ್ ನೋಂದಣ'!$F$5:$F$502,C310,'CHIT REGISTER (ಮಾಸಿಕ ಚಿಟ್ ನೋಂದಣ'!$G$5:$G$502,"UNPAID")-IF(F310="PAID",N(D310),0)))</f>
        <v/>
      </c>
      <c r="F310" s="3"/>
      <c r="G310" s="14"/>
      <c r="H310" s="1"/>
    </row>
    <row r="311" spans="1:8">
      <c r="A311" s="2"/>
      <c r="B311" s="12"/>
      <c r="C311" s="2"/>
      <c r="D311" s="13"/>
      <c r="E311" s="8" t="str">
        <f>IF(C311="","",MAX(0,SUMIFS('CHIT REGISTER (ಮಾಸಿಕ ಚಿಟ್ ನೋಂದಣ'!$D$5:$D$502,'CHIT REGISTER (ಮಾಸಿಕ ಚಿಟ್ ನೋಂದಣ'!$F$5:$F$502,C311,'CHIT REGISTER (ಮಾಸಿಕ ಚಿಟ್ ನೋಂದಣ'!$G$5:$G$502,"UNPAID")-IF(F311="PAID",N(D311),0)))</f>
        <v/>
      </c>
      <c r="F311" s="4"/>
      <c r="G311" s="12"/>
      <c r="H311" s="2"/>
    </row>
    <row r="312" spans="1:8">
      <c r="A312" s="1"/>
      <c r="B312" s="14"/>
      <c r="C312" s="1"/>
      <c r="D312" s="15"/>
      <c r="E312" s="9" t="str">
        <f>IF(C312="","",MAX(0,SUMIFS('CHIT REGISTER (ಮಾಸಿಕ ಚಿಟ್ ನೋಂದಣ'!$D$5:$D$502,'CHIT REGISTER (ಮಾಸಿಕ ಚಿಟ್ ನೋಂದಣ'!$F$5:$F$502,C312,'CHIT REGISTER (ಮಾಸಿಕ ಚಿಟ್ ನೋಂದಣ'!$G$5:$G$502,"UNPAID")-IF(F312="PAID",N(D312),0)))</f>
        <v/>
      </c>
      <c r="F312" s="3"/>
      <c r="G312" s="14"/>
      <c r="H312" s="1"/>
    </row>
    <row r="313" spans="1:8">
      <c r="A313" s="2"/>
      <c r="B313" s="12"/>
      <c r="C313" s="2"/>
      <c r="D313" s="13"/>
      <c r="E313" s="8" t="str">
        <f>IF(C313="","",MAX(0,SUMIFS('CHIT REGISTER (ಮಾಸಿಕ ಚಿಟ್ ನೋಂದಣ'!$D$5:$D$502,'CHIT REGISTER (ಮಾಸಿಕ ಚಿಟ್ ನೋಂದಣ'!$F$5:$F$502,C313,'CHIT REGISTER (ಮಾಸಿಕ ಚಿಟ್ ನೋಂದಣ'!$G$5:$G$502,"UNPAID")-IF(F313="PAID",N(D313),0)))</f>
        <v/>
      </c>
      <c r="F313" s="4"/>
      <c r="G313" s="12"/>
      <c r="H313" s="2"/>
    </row>
    <row r="314" spans="1:8">
      <c r="A314" s="1"/>
      <c r="B314" s="14"/>
      <c r="C314" s="1"/>
      <c r="D314" s="15"/>
      <c r="E314" s="9" t="str">
        <f>IF(C314="","",MAX(0,SUMIFS('CHIT REGISTER (ಮಾಸಿಕ ಚಿಟ್ ನೋಂದಣ'!$D$5:$D$502,'CHIT REGISTER (ಮಾಸಿಕ ಚಿಟ್ ನೋಂದಣ'!$F$5:$F$502,C314,'CHIT REGISTER (ಮಾಸಿಕ ಚಿಟ್ ನೋಂದಣ'!$G$5:$G$502,"UNPAID")-IF(F314="PAID",N(D314),0)))</f>
        <v/>
      </c>
      <c r="F314" s="3"/>
      <c r="G314" s="14"/>
      <c r="H314" s="1"/>
    </row>
    <row r="315" spans="1:8">
      <c r="A315" s="2"/>
      <c r="B315" s="12"/>
      <c r="C315" s="2"/>
      <c r="D315" s="13"/>
      <c r="E315" s="8" t="str">
        <f>IF(C315="","",MAX(0,SUMIFS('CHIT REGISTER (ಮಾಸಿಕ ಚಿಟ್ ನೋಂದಣ'!$D$5:$D$502,'CHIT REGISTER (ಮಾಸಿಕ ಚಿಟ್ ನೋಂದಣ'!$F$5:$F$502,C315,'CHIT REGISTER (ಮಾಸಿಕ ಚಿಟ್ ನೋಂದಣ'!$G$5:$G$502,"UNPAID")-IF(F315="PAID",N(D315),0)))</f>
        <v/>
      </c>
      <c r="F315" s="4"/>
      <c r="G315" s="12"/>
      <c r="H315" s="2"/>
    </row>
    <row r="316" spans="1:8">
      <c r="A316" s="1"/>
      <c r="B316" s="14"/>
      <c r="C316" s="1"/>
      <c r="D316" s="15"/>
      <c r="E316" s="9" t="str">
        <f>IF(C316="","",MAX(0,SUMIFS('CHIT REGISTER (ಮಾಸಿಕ ಚಿಟ್ ನೋಂದಣ'!$D$5:$D$502,'CHIT REGISTER (ಮಾಸಿಕ ಚಿಟ್ ನೋಂದಣ'!$F$5:$F$502,C316,'CHIT REGISTER (ಮಾಸಿಕ ಚಿಟ್ ನೋಂದಣ'!$G$5:$G$502,"UNPAID")-IF(F316="PAID",N(D316),0)))</f>
        <v/>
      </c>
      <c r="F316" s="3"/>
      <c r="G316" s="14"/>
      <c r="H316" s="1"/>
    </row>
    <row r="317" spans="1:8">
      <c r="A317" s="2"/>
      <c r="B317" s="12"/>
      <c r="C317" s="2"/>
      <c r="D317" s="13"/>
      <c r="E317" s="8" t="str">
        <f>IF(C317="","",MAX(0,SUMIFS('CHIT REGISTER (ಮಾಸಿಕ ಚಿಟ್ ನೋಂದಣ'!$D$5:$D$502,'CHIT REGISTER (ಮಾಸಿಕ ಚಿಟ್ ನೋಂದಣ'!$F$5:$F$502,C317,'CHIT REGISTER (ಮಾಸಿಕ ಚಿಟ್ ನೋಂದಣ'!$G$5:$G$502,"UNPAID")-IF(F317="PAID",N(D317),0)))</f>
        <v/>
      </c>
      <c r="F317" s="4"/>
      <c r="G317" s="12"/>
      <c r="H317" s="2"/>
    </row>
    <row r="318" spans="1:8">
      <c r="A318" s="1"/>
      <c r="B318" s="14"/>
      <c r="C318" s="1"/>
      <c r="D318" s="15"/>
      <c r="E318" s="9" t="str">
        <f>IF(C318="","",MAX(0,SUMIFS('CHIT REGISTER (ಮಾಸಿಕ ಚಿಟ್ ನೋಂದಣ'!$D$5:$D$502,'CHIT REGISTER (ಮಾಸಿಕ ಚಿಟ್ ನೋಂದಣ'!$F$5:$F$502,C318,'CHIT REGISTER (ಮಾಸಿಕ ಚಿಟ್ ನೋಂದಣ'!$G$5:$G$502,"UNPAID")-IF(F318="PAID",N(D318),0)))</f>
        <v/>
      </c>
      <c r="F318" s="3"/>
      <c r="G318" s="14"/>
      <c r="H318" s="1"/>
    </row>
    <row r="319" spans="1:8">
      <c r="A319" s="2"/>
      <c r="B319" s="12"/>
      <c r="C319" s="2"/>
      <c r="D319" s="13"/>
      <c r="E319" s="8" t="str">
        <f>IF(C319="","",MAX(0,SUMIFS('CHIT REGISTER (ಮಾಸಿಕ ಚಿಟ್ ನೋಂದಣ'!$D$5:$D$502,'CHIT REGISTER (ಮಾಸಿಕ ಚಿಟ್ ನೋಂದಣ'!$F$5:$F$502,C319,'CHIT REGISTER (ಮಾಸಿಕ ಚಿಟ್ ನೋಂದಣ'!$G$5:$G$502,"UNPAID")-IF(F319="PAID",N(D319),0)))</f>
        <v/>
      </c>
      <c r="F319" s="4"/>
      <c r="G319" s="12"/>
      <c r="H319" s="2"/>
    </row>
    <row r="320" spans="1:8">
      <c r="A320" s="1"/>
      <c r="B320" s="14"/>
      <c r="C320" s="1"/>
      <c r="D320" s="15"/>
      <c r="E320" s="9" t="str">
        <f>IF(C320="","",MAX(0,SUMIFS('CHIT REGISTER (ಮಾಸಿಕ ಚಿಟ್ ನೋಂದಣ'!$D$5:$D$502,'CHIT REGISTER (ಮಾಸಿಕ ಚಿಟ್ ನೋಂದಣ'!$F$5:$F$502,C320,'CHIT REGISTER (ಮಾಸಿಕ ಚಿಟ್ ನೋಂದಣ'!$G$5:$G$502,"UNPAID")-IF(F320="PAID",N(D320),0)))</f>
        <v/>
      </c>
      <c r="F320" s="3"/>
      <c r="G320" s="14"/>
      <c r="H320" s="1"/>
    </row>
    <row r="321" spans="1:8">
      <c r="A321" s="2"/>
      <c r="B321" s="12"/>
      <c r="C321" s="2"/>
      <c r="D321" s="13"/>
      <c r="E321" s="8" t="str">
        <f>IF(C321="","",MAX(0,SUMIFS('CHIT REGISTER (ಮಾಸಿಕ ಚಿಟ್ ನೋಂದಣ'!$D$5:$D$502,'CHIT REGISTER (ಮಾಸಿಕ ಚಿಟ್ ನೋಂದಣ'!$F$5:$F$502,C321,'CHIT REGISTER (ಮಾಸಿಕ ಚಿಟ್ ನೋಂದಣ'!$G$5:$G$502,"UNPAID")-IF(F321="PAID",N(D321),0)))</f>
        <v/>
      </c>
      <c r="F321" s="4"/>
      <c r="G321" s="12"/>
      <c r="H321" s="2"/>
    </row>
    <row r="322" spans="1:8">
      <c r="A322" s="1"/>
      <c r="B322" s="14"/>
      <c r="C322" s="1"/>
      <c r="D322" s="15"/>
      <c r="E322" s="9" t="str">
        <f>IF(C322="","",MAX(0,SUMIFS('CHIT REGISTER (ಮಾಸಿಕ ಚಿಟ್ ನೋಂದಣ'!$D$5:$D$502,'CHIT REGISTER (ಮಾಸಿಕ ಚಿಟ್ ನೋಂದಣ'!$F$5:$F$502,C322,'CHIT REGISTER (ಮಾಸಿಕ ಚಿಟ್ ನೋಂದಣ'!$G$5:$G$502,"UNPAID")-IF(F322="PAID",N(D322),0)))</f>
        <v/>
      </c>
      <c r="F322" s="3"/>
      <c r="G322" s="14"/>
      <c r="H322" s="1"/>
    </row>
    <row r="323" spans="1:8">
      <c r="A323" s="2"/>
      <c r="B323" s="12"/>
      <c r="C323" s="2"/>
      <c r="D323" s="13"/>
      <c r="E323" s="8" t="str">
        <f>IF(C323="","",MAX(0,SUMIFS('CHIT REGISTER (ಮಾಸಿಕ ಚಿಟ್ ನೋಂದಣ'!$D$5:$D$502,'CHIT REGISTER (ಮಾಸಿಕ ಚಿಟ್ ನೋಂದಣ'!$F$5:$F$502,C323,'CHIT REGISTER (ಮಾಸಿಕ ಚಿಟ್ ನೋಂದಣ'!$G$5:$G$502,"UNPAID")-IF(F323="PAID",N(D323),0)))</f>
        <v/>
      </c>
      <c r="F323" s="4"/>
      <c r="G323" s="12"/>
      <c r="H323" s="2"/>
    </row>
    <row r="324" spans="1:8">
      <c r="A324" s="1"/>
      <c r="B324" s="14"/>
      <c r="C324" s="1"/>
      <c r="D324" s="15"/>
      <c r="E324" s="9" t="str">
        <f>IF(C324="","",MAX(0,SUMIFS('CHIT REGISTER (ಮಾಸಿಕ ಚಿಟ್ ನೋಂದಣ'!$D$5:$D$502,'CHIT REGISTER (ಮಾಸಿಕ ಚಿಟ್ ನೋಂದಣ'!$F$5:$F$502,C324,'CHIT REGISTER (ಮಾಸಿಕ ಚಿಟ್ ನೋಂದಣ'!$G$5:$G$502,"UNPAID")-IF(F324="PAID",N(D324),0)))</f>
        <v/>
      </c>
      <c r="F324" s="3"/>
      <c r="G324" s="14"/>
      <c r="H324" s="1"/>
    </row>
    <row r="325" spans="1:8">
      <c r="A325" s="2"/>
      <c r="B325" s="12"/>
      <c r="C325" s="2"/>
      <c r="D325" s="13"/>
      <c r="E325" s="8" t="str">
        <f>IF(C325="","",MAX(0,SUMIFS('CHIT REGISTER (ಮಾಸಿಕ ಚಿಟ್ ನೋಂದಣ'!$D$5:$D$502,'CHIT REGISTER (ಮಾಸಿಕ ಚಿಟ್ ನೋಂದಣ'!$F$5:$F$502,C325,'CHIT REGISTER (ಮಾಸಿಕ ಚಿಟ್ ನೋಂದಣ'!$G$5:$G$502,"UNPAID")-IF(F325="PAID",N(D325),0)))</f>
        <v/>
      </c>
      <c r="F325" s="4"/>
      <c r="G325" s="12"/>
      <c r="H325" s="2"/>
    </row>
    <row r="326" spans="1:8">
      <c r="A326" s="1"/>
      <c r="B326" s="14"/>
      <c r="C326" s="1"/>
      <c r="D326" s="15"/>
      <c r="E326" s="9" t="str">
        <f>IF(C326="","",MAX(0,SUMIFS('CHIT REGISTER (ಮಾಸಿಕ ಚಿಟ್ ನೋಂದಣ'!$D$5:$D$502,'CHIT REGISTER (ಮಾಸಿಕ ಚಿಟ್ ನೋಂದಣ'!$F$5:$F$502,C326,'CHIT REGISTER (ಮಾಸಿಕ ಚಿಟ್ ನೋಂದಣ'!$G$5:$G$502,"UNPAID")-IF(F326="PAID",N(D326),0)))</f>
        <v/>
      </c>
      <c r="F326" s="3"/>
      <c r="G326" s="14"/>
      <c r="H326" s="1"/>
    </row>
    <row r="327" spans="1:8">
      <c r="A327" s="2"/>
      <c r="B327" s="12"/>
      <c r="C327" s="2"/>
      <c r="D327" s="13"/>
      <c r="E327" s="8" t="str">
        <f>IF(C327="","",MAX(0,SUMIFS('CHIT REGISTER (ಮಾಸಿಕ ಚಿಟ್ ನೋಂದಣ'!$D$5:$D$502,'CHIT REGISTER (ಮಾಸಿಕ ಚಿಟ್ ನೋಂದಣ'!$F$5:$F$502,C327,'CHIT REGISTER (ಮಾಸಿಕ ಚಿಟ್ ನೋಂದಣ'!$G$5:$G$502,"UNPAID")-IF(F327="PAID",N(D327),0)))</f>
        <v/>
      </c>
      <c r="F327" s="4"/>
      <c r="G327" s="12"/>
      <c r="H327" s="2"/>
    </row>
    <row r="328" spans="1:8">
      <c r="A328" s="1"/>
      <c r="B328" s="14"/>
      <c r="C328" s="1"/>
      <c r="D328" s="15"/>
      <c r="E328" s="9" t="str">
        <f>IF(C328="","",MAX(0,SUMIFS('CHIT REGISTER (ಮಾಸಿಕ ಚಿಟ್ ನೋಂದಣ'!$D$5:$D$502,'CHIT REGISTER (ಮಾಸಿಕ ಚಿಟ್ ನೋಂದಣ'!$F$5:$F$502,C328,'CHIT REGISTER (ಮಾಸಿಕ ಚಿಟ್ ನೋಂದಣ'!$G$5:$G$502,"UNPAID")-IF(F328="PAID",N(D328),0)))</f>
        <v/>
      </c>
      <c r="F328" s="3"/>
      <c r="G328" s="14"/>
      <c r="H328" s="1"/>
    </row>
    <row r="329" spans="1:8">
      <c r="A329" s="2"/>
      <c r="B329" s="12"/>
      <c r="C329" s="2"/>
      <c r="D329" s="13"/>
      <c r="E329" s="8" t="str">
        <f>IF(C329="","",MAX(0,SUMIFS('CHIT REGISTER (ಮಾಸಿಕ ಚಿಟ್ ನೋಂದಣ'!$D$5:$D$502,'CHIT REGISTER (ಮಾಸಿಕ ಚಿಟ್ ನೋಂದಣ'!$F$5:$F$502,C329,'CHIT REGISTER (ಮಾಸಿಕ ಚಿಟ್ ನೋಂದಣ'!$G$5:$G$502,"UNPAID")-IF(F329="PAID",N(D329),0)))</f>
        <v/>
      </c>
      <c r="F329" s="4"/>
      <c r="G329" s="12"/>
      <c r="H329" s="2"/>
    </row>
    <row r="330" spans="1:8">
      <c r="A330" s="1"/>
      <c r="B330" s="14"/>
      <c r="C330" s="1"/>
      <c r="D330" s="15"/>
      <c r="E330" s="9" t="str">
        <f>IF(C330="","",MAX(0,SUMIFS('CHIT REGISTER (ಮಾಸಿಕ ಚಿಟ್ ನೋಂದಣ'!$D$5:$D$502,'CHIT REGISTER (ಮಾಸಿಕ ಚಿಟ್ ನೋಂದಣ'!$F$5:$F$502,C330,'CHIT REGISTER (ಮಾಸಿಕ ಚಿಟ್ ನೋಂದಣ'!$G$5:$G$502,"UNPAID")-IF(F330="PAID",N(D330),0)))</f>
        <v/>
      </c>
      <c r="F330" s="3"/>
      <c r="G330" s="14"/>
      <c r="H330" s="1"/>
    </row>
    <row r="331" spans="1:8">
      <c r="A331" s="2"/>
      <c r="B331" s="12"/>
      <c r="C331" s="2"/>
      <c r="D331" s="13"/>
      <c r="E331" s="8" t="str">
        <f>IF(C331="","",MAX(0,SUMIFS('CHIT REGISTER (ಮಾಸಿಕ ಚಿಟ್ ನೋಂದಣ'!$D$5:$D$502,'CHIT REGISTER (ಮಾಸಿಕ ಚಿಟ್ ನೋಂದಣ'!$F$5:$F$502,C331,'CHIT REGISTER (ಮಾಸಿಕ ಚಿಟ್ ನೋಂದಣ'!$G$5:$G$502,"UNPAID")-IF(F331="PAID",N(D331),0)))</f>
        <v/>
      </c>
      <c r="F331" s="4"/>
      <c r="G331" s="12"/>
      <c r="H331" s="2"/>
    </row>
    <row r="332" spans="1:8">
      <c r="A332" s="1"/>
      <c r="B332" s="14"/>
      <c r="C332" s="1"/>
      <c r="D332" s="15"/>
      <c r="E332" s="9" t="str">
        <f>IF(C332="","",MAX(0,SUMIFS('CHIT REGISTER (ಮಾಸಿಕ ಚಿಟ್ ನೋಂದಣ'!$D$5:$D$502,'CHIT REGISTER (ಮಾಸಿಕ ಚಿಟ್ ನೋಂದಣ'!$F$5:$F$502,C332,'CHIT REGISTER (ಮಾಸಿಕ ಚಿಟ್ ನೋಂದಣ'!$G$5:$G$502,"UNPAID")-IF(F332="PAID",N(D332),0)))</f>
        <v/>
      </c>
      <c r="F332" s="3"/>
      <c r="G332" s="14"/>
      <c r="H332" s="1"/>
    </row>
    <row r="333" spans="1:8">
      <c r="A333" s="2"/>
      <c r="B333" s="12"/>
      <c r="C333" s="2"/>
      <c r="D333" s="13"/>
      <c r="E333" s="8" t="str">
        <f>IF(C333="","",MAX(0,SUMIFS('CHIT REGISTER (ಮಾಸಿಕ ಚಿಟ್ ನೋಂದಣ'!$D$5:$D$502,'CHIT REGISTER (ಮಾಸಿಕ ಚಿಟ್ ನೋಂದಣ'!$F$5:$F$502,C333,'CHIT REGISTER (ಮಾಸಿಕ ಚಿಟ್ ನೋಂದಣ'!$G$5:$G$502,"UNPAID")-IF(F333="PAID",N(D333),0)))</f>
        <v/>
      </c>
      <c r="F333" s="4"/>
      <c r="G333" s="12"/>
      <c r="H333" s="2"/>
    </row>
    <row r="334" spans="1:8">
      <c r="A334" s="1"/>
      <c r="B334" s="14"/>
      <c r="C334" s="1"/>
      <c r="D334" s="15"/>
      <c r="E334" s="9" t="str">
        <f>IF(C334="","",MAX(0,SUMIFS('CHIT REGISTER (ಮಾಸಿಕ ಚಿಟ್ ನೋಂದಣ'!$D$5:$D$502,'CHIT REGISTER (ಮಾಸಿಕ ಚಿಟ್ ನೋಂದಣ'!$F$5:$F$502,C334,'CHIT REGISTER (ಮಾಸಿಕ ಚಿಟ್ ನೋಂದಣ'!$G$5:$G$502,"UNPAID")-IF(F334="PAID",N(D334),0)))</f>
        <v/>
      </c>
      <c r="F334" s="3"/>
      <c r="G334" s="14"/>
      <c r="H334" s="1"/>
    </row>
    <row r="335" spans="1:8">
      <c r="A335" s="2"/>
      <c r="B335" s="12"/>
      <c r="C335" s="2"/>
      <c r="D335" s="13"/>
      <c r="E335" s="8" t="str">
        <f>IF(C335="","",MAX(0,SUMIFS('CHIT REGISTER (ಮಾಸಿಕ ಚಿಟ್ ನೋಂದಣ'!$D$5:$D$502,'CHIT REGISTER (ಮಾಸಿಕ ಚಿಟ್ ನೋಂದಣ'!$F$5:$F$502,C335,'CHIT REGISTER (ಮಾಸಿಕ ಚಿಟ್ ನೋಂದಣ'!$G$5:$G$502,"UNPAID")-IF(F335="PAID",N(D335),0)))</f>
        <v/>
      </c>
      <c r="F335" s="4"/>
      <c r="G335" s="12"/>
      <c r="H335" s="2"/>
    </row>
    <row r="336" spans="1:8">
      <c r="A336" s="1"/>
      <c r="B336" s="14"/>
      <c r="C336" s="1"/>
      <c r="D336" s="15"/>
      <c r="E336" s="9" t="str">
        <f>IF(C336="","",MAX(0,SUMIFS('CHIT REGISTER (ಮಾಸಿಕ ಚಿಟ್ ನೋಂದಣ'!$D$5:$D$502,'CHIT REGISTER (ಮಾಸಿಕ ಚಿಟ್ ನೋಂದಣ'!$F$5:$F$502,C336,'CHIT REGISTER (ಮಾಸಿಕ ಚಿಟ್ ನೋಂದಣ'!$G$5:$G$502,"UNPAID")-IF(F336="PAID",N(D336),0)))</f>
        <v/>
      </c>
      <c r="F336" s="3"/>
      <c r="G336" s="14"/>
      <c r="H336" s="1"/>
    </row>
    <row r="337" spans="1:8">
      <c r="A337" s="2"/>
      <c r="B337" s="12"/>
      <c r="C337" s="2"/>
      <c r="D337" s="13"/>
      <c r="E337" s="8" t="str">
        <f>IF(C337="","",MAX(0,SUMIFS('CHIT REGISTER (ಮಾಸಿಕ ಚಿಟ್ ನೋಂದಣ'!$D$5:$D$502,'CHIT REGISTER (ಮಾಸಿಕ ಚಿಟ್ ನೋಂದಣ'!$F$5:$F$502,C337,'CHIT REGISTER (ಮಾಸಿಕ ಚಿಟ್ ನೋಂದಣ'!$G$5:$G$502,"UNPAID")-IF(F337="PAID",N(D337),0)))</f>
        <v/>
      </c>
      <c r="F337" s="4"/>
      <c r="G337" s="12"/>
      <c r="H337" s="2"/>
    </row>
    <row r="338" spans="1:8">
      <c r="A338" s="1"/>
      <c r="B338" s="14"/>
      <c r="C338" s="1"/>
      <c r="D338" s="15"/>
      <c r="E338" s="9" t="str">
        <f>IF(C338="","",MAX(0,SUMIFS('CHIT REGISTER (ಮಾಸಿಕ ಚಿಟ್ ನೋಂದಣ'!$D$5:$D$502,'CHIT REGISTER (ಮಾಸಿಕ ಚಿಟ್ ನೋಂದಣ'!$F$5:$F$502,C338,'CHIT REGISTER (ಮಾಸಿಕ ಚಿಟ್ ನೋಂದಣ'!$G$5:$G$502,"UNPAID")-IF(F338="PAID",N(D338),0)))</f>
        <v/>
      </c>
      <c r="F338" s="3"/>
      <c r="G338" s="14"/>
      <c r="H338" s="1"/>
    </row>
    <row r="339" spans="1:8">
      <c r="A339" s="2"/>
      <c r="B339" s="12"/>
      <c r="C339" s="2"/>
      <c r="D339" s="13"/>
      <c r="E339" s="8" t="str">
        <f>IF(C339="","",MAX(0,SUMIFS('CHIT REGISTER (ಮಾಸಿಕ ಚಿಟ್ ನೋಂದಣ'!$D$5:$D$502,'CHIT REGISTER (ಮಾಸಿಕ ಚಿಟ್ ನೋಂದಣ'!$F$5:$F$502,C339,'CHIT REGISTER (ಮಾಸಿಕ ಚಿಟ್ ನೋಂದಣ'!$G$5:$G$502,"UNPAID")-IF(F339="PAID",N(D339),0)))</f>
        <v/>
      </c>
      <c r="F339" s="4"/>
      <c r="G339" s="12"/>
      <c r="H339" s="2"/>
    </row>
    <row r="340" spans="1:8">
      <c r="A340" s="1"/>
      <c r="B340" s="14"/>
      <c r="C340" s="1"/>
      <c r="D340" s="15"/>
      <c r="E340" s="9" t="str">
        <f>IF(C340="","",MAX(0,SUMIFS('CHIT REGISTER (ಮಾಸಿಕ ಚಿಟ್ ನೋಂದಣ'!$D$5:$D$502,'CHIT REGISTER (ಮಾಸಿಕ ಚಿಟ್ ನೋಂದಣ'!$F$5:$F$502,C340,'CHIT REGISTER (ಮಾಸಿಕ ಚಿಟ್ ನೋಂದಣ'!$G$5:$G$502,"UNPAID")-IF(F340="PAID",N(D340),0)))</f>
        <v/>
      </c>
      <c r="F340" s="3"/>
      <c r="G340" s="14"/>
      <c r="H340" s="1"/>
    </row>
    <row r="341" spans="1:8">
      <c r="A341" s="2"/>
      <c r="B341" s="12"/>
      <c r="C341" s="2"/>
      <c r="D341" s="13"/>
      <c r="E341" s="8" t="str">
        <f>IF(C341="","",MAX(0,SUMIFS('CHIT REGISTER (ಮಾಸಿಕ ಚಿಟ್ ನೋಂದಣ'!$D$5:$D$502,'CHIT REGISTER (ಮಾಸಿಕ ಚಿಟ್ ನೋಂದಣ'!$F$5:$F$502,C341,'CHIT REGISTER (ಮಾಸಿಕ ಚಿಟ್ ನೋಂದಣ'!$G$5:$G$502,"UNPAID")-IF(F341="PAID",N(D341),0)))</f>
        <v/>
      </c>
      <c r="F341" s="4"/>
      <c r="G341" s="12"/>
      <c r="H341" s="2"/>
    </row>
    <row r="342" spans="1:8">
      <c r="A342" s="1"/>
      <c r="B342" s="14"/>
      <c r="C342" s="1"/>
      <c r="D342" s="15"/>
      <c r="E342" s="9" t="str">
        <f>IF(C342="","",MAX(0,SUMIFS('CHIT REGISTER (ಮಾಸಿಕ ಚಿಟ್ ನೋಂದಣ'!$D$5:$D$502,'CHIT REGISTER (ಮಾಸಿಕ ಚಿಟ್ ನೋಂದಣ'!$F$5:$F$502,C342,'CHIT REGISTER (ಮಾಸಿಕ ಚಿಟ್ ನೋಂದಣ'!$G$5:$G$502,"UNPAID")-IF(F342="PAID",N(D342),0)))</f>
        <v/>
      </c>
      <c r="F342" s="3"/>
      <c r="G342" s="14"/>
      <c r="H342" s="1"/>
    </row>
    <row r="343" spans="1:8">
      <c r="A343" s="2"/>
      <c r="B343" s="12"/>
      <c r="C343" s="2"/>
      <c r="D343" s="13"/>
      <c r="E343" s="8" t="str">
        <f>IF(C343="","",MAX(0,SUMIFS('CHIT REGISTER (ಮಾಸಿಕ ಚಿಟ್ ನೋಂದಣ'!$D$5:$D$502,'CHIT REGISTER (ಮಾಸಿಕ ಚಿಟ್ ನೋಂದಣ'!$F$5:$F$502,C343,'CHIT REGISTER (ಮಾಸಿಕ ಚಿಟ್ ನೋಂದಣ'!$G$5:$G$502,"UNPAID")-IF(F343="PAID",N(D343),0)))</f>
        <v/>
      </c>
      <c r="F343" s="4"/>
      <c r="G343" s="12"/>
      <c r="H343" s="2"/>
    </row>
    <row r="344" spans="1:8">
      <c r="A344" s="1"/>
      <c r="B344" s="14"/>
      <c r="C344" s="1"/>
      <c r="D344" s="15"/>
      <c r="E344" s="9" t="str">
        <f>IF(C344="","",MAX(0,SUMIFS('CHIT REGISTER (ಮಾಸಿಕ ಚಿಟ್ ನೋಂದಣ'!$D$5:$D$502,'CHIT REGISTER (ಮಾಸಿಕ ಚಿಟ್ ನೋಂದಣ'!$F$5:$F$502,C344,'CHIT REGISTER (ಮಾಸಿಕ ಚಿಟ್ ನೋಂದಣ'!$G$5:$G$502,"UNPAID")-IF(F344="PAID",N(D344),0)))</f>
        <v/>
      </c>
      <c r="F344" s="3"/>
      <c r="G344" s="14"/>
      <c r="H344" s="1"/>
    </row>
    <row r="345" spans="1:8">
      <c r="A345" s="2"/>
      <c r="B345" s="12"/>
      <c r="C345" s="2"/>
      <c r="D345" s="13"/>
      <c r="E345" s="8" t="str">
        <f>IF(C345="","",MAX(0,SUMIFS('CHIT REGISTER (ಮಾಸಿಕ ಚಿಟ್ ನೋಂದಣ'!$D$5:$D$502,'CHIT REGISTER (ಮಾಸಿಕ ಚಿಟ್ ನೋಂದಣ'!$F$5:$F$502,C345,'CHIT REGISTER (ಮಾಸಿಕ ಚಿಟ್ ನೋಂದಣ'!$G$5:$G$502,"UNPAID")-IF(F345="PAID",N(D345),0)))</f>
        <v/>
      </c>
      <c r="F345" s="4"/>
      <c r="G345" s="12"/>
      <c r="H345" s="2"/>
    </row>
    <row r="346" spans="1:8">
      <c r="A346" s="1"/>
      <c r="B346" s="14"/>
      <c r="C346" s="1"/>
      <c r="D346" s="15"/>
      <c r="E346" s="9" t="str">
        <f>IF(C346="","",MAX(0,SUMIFS('CHIT REGISTER (ಮಾಸಿಕ ಚಿಟ್ ನೋಂದಣ'!$D$5:$D$502,'CHIT REGISTER (ಮಾಸಿಕ ಚಿಟ್ ನೋಂದಣ'!$F$5:$F$502,C346,'CHIT REGISTER (ಮಾಸಿಕ ಚಿಟ್ ನೋಂದಣ'!$G$5:$G$502,"UNPAID")-IF(F346="PAID",N(D346),0)))</f>
        <v/>
      </c>
      <c r="F346" s="3"/>
      <c r="G346" s="14"/>
      <c r="H346" s="1"/>
    </row>
    <row r="347" spans="1:8">
      <c r="A347" s="2"/>
      <c r="B347" s="12"/>
      <c r="C347" s="2"/>
      <c r="D347" s="13"/>
      <c r="E347" s="8" t="str">
        <f>IF(C347="","",MAX(0,SUMIFS('CHIT REGISTER (ಮಾಸಿಕ ಚಿಟ್ ನೋಂದಣ'!$D$5:$D$502,'CHIT REGISTER (ಮಾಸಿಕ ಚಿಟ್ ನೋಂದಣ'!$F$5:$F$502,C347,'CHIT REGISTER (ಮಾಸಿಕ ಚಿಟ್ ನೋಂದಣ'!$G$5:$G$502,"UNPAID")-IF(F347="PAID",N(D347),0)))</f>
        <v/>
      </c>
      <c r="F347" s="4"/>
      <c r="G347" s="12"/>
      <c r="H347" s="2"/>
    </row>
    <row r="348" spans="1:8">
      <c r="A348" s="1"/>
      <c r="B348" s="14"/>
      <c r="C348" s="1"/>
      <c r="D348" s="15"/>
      <c r="E348" s="9" t="str">
        <f>IF(C348="","",MAX(0,SUMIFS('CHIT REGISTER (ಮಾಸಿಕ ಚಿಟ್ ನೋಂದಣ'!$D$5:$D$502,'CHIT REGISTER (ಮಾಸಿಕ ಚಿಟ್ ನೋಂದಣ'!$F$5:$F$502,C348,'CHIT REGISTER (ಮಾಸಿಕ ಚಿಟ್ ನೋಂದಣ'!$G$5:$G$502,"UNPAID")-IF(F348="PAID",N(D348),0)))</f>
        <v/>
      </c>
      <c r="F348" s="3"/>
      <c r="G348" s="14"/>
      <c r="H348" s="1"/>
    </row>
    <row r="349" spans="1:8">
      <c r="A349" s="2"/>
      <c r="B349" s="12"/>
      <c r="C349" s="2"/>
      <c r="D349" s="13"/>
      <c r="E349" s="8" t="str">
        <f>IF(C349="","",MAX(0,SUMIFS('CHIT REGISTER (ಮಾಸಿಕ ಚಿಟ್ ನೋಂದಣ'!$D$5:$D$502,'CHIT REGISTER (ಮಾಸಿಕ ಚಿಟ್ ನೋಂದಣ'!$F$5:$F$502,C349,'CHIT REGISTER (ಮಾಸಿಕ ಚಿಟ್ ನೋಂದಣ'!$G$5:$G$502,"UNPAID")-IF(F349="PAID",N(D349),0)))</f>
        <v/>
      </c>
      <c r="F349" s="4"/>
      <c r="G349" s="12"/>
      <c r="H349" s="2"/>
    </row>
    <row r="350" spans="1:8">
      <c r="A350" s="1"/>
      <c r="B350" s="14"/>
      <c r="C350" s="1"/>
      <c r="D350" s="15"/>
      <c r="E350" s="9" t="str">
        <f>IF(C350="","",MAX(0,SUMIFS('CHIT REGISTER (ಮಾಸಿಕ ಚಿಟ್ ನೋಂದಣ'!$D$5:$D$502,'CHIT REGISTER (ಮಾಸಿಕ ಚಿಟ್ ನೋಂದಣ'!$F$5:$F$502,C350,'CHIT REGISTER (ಮಾಸಿಕ ಚಿಟ್ ನೋಂದಣ'!$G$5:$G$502,"UNPAID")-IF(F350="PAID",N(D350),0)))</f>
        <v/>
      </c>
      <c r="F350" s="3"/>
      <c r="G350" s="14"/>
      <c r="H350" s="1"/>
    </row>
    <row r="351" spans="1:8">
      <c r="A351" s="2"/>
      <c r="B351" s="12"/>
      <c r="C351" s="2"/>
      <c r="D351" s="13"/>
      <c r="E351" s="8" t="str">
        <f>IF(C351="","",MAX(0,SUMIFS('CHIT REGISTER (ಮಾಸಿಕ ಚಿಟ್ ನೋಂದಣ'!$D$5:$D$502,'CHIT REGISTER (ಮಾಸಿಕ ಚಿಟ್ ನೋಂದಣ'!$F$5:$F$502,C351,'CHIT REGISTER (ಮಾಸಿಕ ಚಿಟ್ ನೋಂದಣ'!$G$5:$G$502,"UNPAID")-IF(F351="PAID",N(D351),0)))</f>
        <v/>
      </c>
      <c r="F351" s="4"/>
      <c r="G351" s="12"/>
      <c r="H351" s="2"/>
    </row>
    <row r="352" spans="1:8">
      <c r="A352" s="1"/>
      <c r="B352" s="14"/>
      <c r="C352" s="1"/>
      <c r="D352" s="15"/>
      <c r="E352" s="9" t="str">
        <f>IF(C352="","",MAX(0,SUMIFS('CHIT REGISTER (ಮಾಸಿಕ ಚಿಟ್ ನೋಂದಣ'!$D$5:$D$502,'CHIT REGISTER (ಮಾಸಿಕ ಚಿಟ್ ನೋಂದಣ'!$F$5:$F$502,C352,'CHIT REGISTER (ಮಾಸಿಕ ಚಿಟ್ ನೋಂದಣ'!$G$5:$G$502,"UNPAID")-IF(F352="PAID",N(D352),0)))</f>
        <v/>
      </c>
      <c r="F352" s="3"/>
      <c r="G352" s="14"/>
      <c r="H352" s="1"/>
    </row>
    <row r="353" spans="1:8">
      <c r="A353" s="2"/>
      <c r="B353" s="12"/>
      <c r="C353" s="2"/>
      <c r="D353" s="13"/>
      <c r="E353" s="8" t="str">
        <f>IF(C353="","",MAX(0,SUMIFS('CHIT REGISTER (ಮಾಸಿಕ ಚಿಟ್ ನೋಂದಣ'!$D$5:$D$502,'CHIT REGISTER (ಮಾಸಿಕ ಚಿಟ್ ನೋಂದಣ'!$F$5:$F$502,C353,'CHIT REGISTER (ಮಾಸಿಕ ಚಿಟ್ ನೋಂದಣ'!$G$5:$G$502,"UNPAID")-IF(F353="PAID",N(D353),0)))</f>
        <v/>
      </c>
      <c r="F353" s="4"/>
      <c r="G353" s="12"/>
      <c r="H353" s="2"/>
    </row>
    <row r="354" spans="1:8">
      <c r="A354" s="1"/>
      <c r="B354" s="14"/>
      <c r="C354" s="1"/>
      <c r="D354" s="15"/>
      <c r="E354" s="9" t="str">
        <f>IF(C354="","",MAX(0,SUMIFS('CHIT REGISTER (ಮಾಸಿಕ ಚಿಟ್ ನೋಂದಣ'!$D$5:$D$502,'CHIT REGISTER (ಮಾಸಿಕ ಚಿಟ್ ನೋಂದಣ'!$F$5:$F$502,C354,'CHIT REGISTER (ಮಾಸಿಕ ಚಿಟ್ ನೋಂದಣ'!$G$5:$G$502,"UNPAID")-IF(F354="PAID",N(D354),0)))</f>
        <v/>
      </c>
      <c r="F354" s="3"/>
      <c r="G354" s="14"/>
      <c r="H354" s="1"/>
    </row>
    <row r="355" spans="1:8">
      <c r="A355" s="2"/>
      <c r="B355" s="12"/>
      <c r="C355" s="2"/>
      <c r="D355" s="13"/>
      <c r="E355" s="8" t="str">
        <f>IF(C355="","",MAX(0,SUMIFS('CHIT REGISTER (ಮಾಸಿಕ ಚಿಟ್ ನೋಂದಣ'!$D$5:$D$502,'CHIT REGISTER (ಮಾಸಿಕ ಚಿಟ್ ನೋಂದಣ'!$F$5:$F$502,C355,'CHIT REGISTER (ಮಾಸಿಕ ಚಿಟ್ ನೋಂದಣ'!$G$5:$G$502,"UNPAID")-IF(F355="PAID",N(D355),0)))</f>
        <v/>
      </c>
      <c r="F355" s="4"/>
      <c r="G355" s="12"/>
      <c r="H355" s="2"/>
    </row>
    <row r="356" spans="1:8">
      <c r="A356" s="1"/>
      <c r="B356" s="14"/>
      <c r="C356" s="1"/>
      <c r="D356" s="15"/>
      <c r="E356" s="9" t="str">
        <f>IF(C356="","",MAX(0,SUMIFS('CHIT REGISTER (ಮಾಸಿಕ ಚಿಟ್ ನೋಂದಣ'!$D$5:$D$502,'CHIT REGISTER (ಮಾಸಿಕ ಚಿಟ್ ನೋಂದಣ'!$F$5:$F$502,C356,'CHIT REGISTER (ಮಾಸಿಕ ಚಿಟ್ ನೋಂದಣ'!$G$5:$G$502,"UNPAID")-IF(F356="PAID",N(D356),0)))</f>
        <v/>
      </c>
      <c r="F356" s="3"/>
      <c r="G356" s="14"/>
      <c r="H356" s="1"/>
    </row>
    <row r="357" spans="1:8">
      <c r="A357" s="2"/>
      <c r="B357" s="12"/>
      <c r="C357" s="2"/>
      <c r="D357" s="13"/>
      <c r="E357" s="8" t="str">
        <f>IF(C357="","",MAX(0,SUMIFS('CHIT REGISTER (ಮಾಸಿಕ ಚಿಟ್ ನೋಂದಣ'!$D$5:$D$502,'CHIT REGISTER (ಮಾಸಿಕ ಚಿಟ್ ನೋಂದಣ'!$F$5:$F$502,C357,'CHIT REGISTER (ಮಾಸಿಕ ಚಿಟ್ ನೋಂದಣ'!$G$5:$G$502,"UNPAID")-IF(F357="PAID",N(D357),0)))</f>
        <v/>
      </c>
      <c r="F357" s="4"/>
      <c r="G357" s="12"/>
      <c r="H357" s="2"/>
    </row>
    <row r="358" spans="1:8">
      <c r="A358" s="1"/>
      <c r="B358" s="14"/>
      <c r="C358" s="1"/>
      <c r="D358" s="15"/>
      <c r="E358" s="9" t="str">
        <f>IF(C358="","",MAX(0,SUMIFS('CHIT REGISTER (ಮಾಸಿಕ ಚಿಟ್ ನೋಂದಣ'!$D$5:$D$502,'CHIT REGISTER (ಮಾಸಿಕ ಚಿಟ್ ನೋಂದಣ'!$F$5:$F$502,C358,'CHIT REGISTER (ಮಾಸಿಕ ಚಿಟ್ ನೋಂದಣ'!$G$5:$G$502,"UNPAID")-IF(F358="PAID",N(D358),0)))</f>
        <v/>
      </c>
      <c r="F358" s="3"/>
      <c r="G358" s="14"/>
      <c r="H358" s="1"/>
    </row>
    <row r="359" spans="1:8">
      <c r="A359" s="2"/>
      <c r="B359" s="12"/>
      <c r="C359" s="2"/>
      <c r="D359" s="13"/>
      <c r="E359" s="8" t="str">
        <f>IF(C359="","",MAX(0,SUMIFS('CHIT REGISTER (ಮಾಸಿಕ ಚಿಟ್ ನೋಂದಣ'!$D$5:$D$502,'CHIT REGISTER (ಮಾಸಿಕ ಚಿಟ್ ನೋಂದಣ'!$F$5:$F$502,C359,'CHIT REGISTER (ಮಾಸಿಕ ಚಿಟ್ ನೋಂದಣ'!$G$5:$G$502,"UNPAID")-IF(F359="PAID",N(D359),0)))</f>
        <v/>
      </c>
      <c r="F359" s="4"/>
      <c r="G359" s="12"/>
      <c r="H359" s="2"/>
    </row>
    <row r="360" spans="1:8">
      <c r="A360" s="1"/>
      <c r="B360" s="14"/>
      <c r="C360" s="1"/>
      <c r="D360" s="15"/>
      <c r="E360" s="9" t="str">
        <f>IF(C360="","",MAX(0,SUMIFS('CHIT REGISTER (ಮಾಸಿಕ ಚಿಟ್ ನೋಂದಣ'!$D$5:$D$502,'CHIT REGISTER (ಮಾಸಿಕ ಚಿಟ್ ನೋಂದಣ'!$F$5:$F$502,C360,'CHIT REGISTER (ಮಾಸಿಕ ಚಿಟ್ ನೋಂದಣ'!$G$5:$G$502,"UNPAID")-IF(F360="PAID",N(D360),0)))</f>
        <v/>
      </c>
      <c r="F360" s="3"/>
      <c r="G360" s="14"/>
      <c r="H360" s="1"/>
    </row>
    <row r="361" spans="1:8">
      <c r="A361" s="2"/>
      <c r="B361" s="12"/>
      <c r="C361" s="2"/>
      <c r="D361" s="13"/>
      <c r="E361" s="8" t="str">
        <f>IF(C361="","",MAX(0,SUMIFS('CHIT REGISTER (ಮಾಸಿಕ ಚಿಟ್ ನೋಂದಣ'!$D$5:$D$502,'CHIT REGISTER (ಮಾಸಿಕ ಚಿಟ್ ನೋಂದಣ'!$F$5:$F$502,C361,'CHIT REGISTER (ಮಾಸಿಕ ಚಿಟ್ ನೋಂದಣ'!$G$5:$G$502,"UNPAID")-IF(F361="PAID",N(D361),0)))</f>
        <v/>
      </c>
      <c r="F361" s="4"/>
      <c r="G361" s="12"/>
      <c r="H361" s="2"/>
    </row>
    <row r="362" spans="1:8">
      <c r="A362" s="1"/>
      <c r="B362" s="14"/>
      <c r="C362" s="1"/>
      <c r="D362" s="15"/>
      <c r="E362" s="9" t="str">
        <f>IF(C362="","",MAX(0,SUMIFS('CHIT REGISTER (ಮಾಸಿಕ ಚಿಟ್ ನೋಂದಣ'!$D$5:$D$502,'CHIT REGISTER (ಮಾಸಿಕ ಚಿಟ್ ನೋಂದಣ'!$F$5:$F$502,C362,'CHIT REGISTER (ಮಾಸಿಕ ಚಿಟ್ ನೋಂದಣ'!$G$5:$G$502,"UNPAID")-IF(F362="PAID",N(D362),0)))</f>
        <v/>
      </c>
      <c r="F362" s="3"/>
      <c r="G362" s="14"/>
      <c r="H362" s="1"/>
    </row>
    <row r="363" spans="1:8">
      <c r="A363" s="2"/>
      <c r="B363" s="12"/>
      <c r="C363" s="2"/>
      <c r="D363" s="13"/>
      <c r="E363" s="8" t="str">
        <f>IF(C363="","",MAX(0,SUMIFS('CHIT REGISTER (ಮಾಸಿಕ ಚಿಟ್ ನೋಂದಣ'!$D$5:$D$502,'CHIT REGISTER (ಮಾಸಿಕ ಚಿಟ್ ನೋಂದಣ'!$F$5:$F$502,C363,'CHIT REGISTER (ಮಾಸಿಕ ಚಿಟ್ ನೋಂದಣ'!$G$5:$G$502,"UNPAID")-IF(F363="PAID",N(D363),0)))</f>
        <v/>
      </c>
      <c r="F363" s="4"/>
      <c r="G363" s="12"/>
      <c r="H363" s="2"/>
    </row>
    <row r="364" spans="1:8">
      <c r="A364" s="1"/>
      <c r="B364" s="14"/>
      <c r="C364" s="1"/>
      <c r="D364" s="15"/>
      <c r="E364" s="9" t="str">
        <f>IF(C364="","",MAX(0,SUMIFS('CHIT REGISTER (ಮಾಸಿಕ ಚಿಟ್ ನೋಂದಣ'!$D$5:$D$502,'CHIT REGISTER (ಮಾಸಿಕ ಚಿಟ್ ನೋಂದಣ'!$F$5:$F$502,C364,'CHIT REGISTER (ಮಾಸಿಕ ಚಿಟ್ ನೋಂದಣ'!$G$5:$G$502,"UNPAID")-IF(F364="PAID",N(D364),0)))</f>
        <v/>
      </c>
      <c r="F364" s="3"/>
      <c r="G364" s="14"/>
      <c r="H364" s="1"/>
    </row>
    <row r="365" spans="1:8">
      <c r="A365" s="2"/>
      <c r="B365" s="12"/>
      <c r="C365" s="2"/>
      <c r="D365" s="13"/>
      <c r="E365" s="8" t="str">
        <f>IF(C365="","",MAX(0,SUMIFS('CHIT REGISTER (ಮಾಸಿಕ ಚಿಟ್ ನೋಂದಣ'!$D$5:$D$502,'CHIT REGISTER (ಮಾಸಿಕ ಚಿಟ್ ನೋಂದಣ'!$F$5:$F$502,C365,'CHIT REGISTER (ಮಾಸಿಕ ಚಿಟ್ ನೋಂದಣ'!$G$5:$G$502,"UNPAID")-IF(F365="PAID",N(D365),0)))</f>
        <v/>
      </c>
      <c r="F365" s="4"/>
      <c r="G365" s="12"/>
      <c r="H365" s="2"/>
    </row>
    <row r="366" spans="1:8">
      <c r="A366" s="1"/>
      <c r="B366" s="14"/>
      <c r="C366" s="1"/>
      <c r="D366" s="15"/>
      <c r="E366" s="9" t="str">
        <f>IF(C366="","",MAX(0,SUMIFS('CHIT REGISTER (ಮಾಸಿಕ ಚಿಟ್ ನೋಂದಣ'!$D$5:$D$502,'CHIT REGISTER (ಮಾಸಿಕ ಚಿಟ್ ನೋಂದಣ'!$F$5:$F$502,C366,'CHIT REGISTER (ಮಾಸಿಕ ಚಿಟ್ ನೋಂದಣ'!$G$5:$G$502,"UNPAID")-IF(F366="PAID",N(D366),0)))</f>
        <v/>
      </c>
      <c r="F366" s="3"/>
      <c r="G366" s="14"/>
      <c r="H366" s="1"/>
    </row>
    <row r="367" spans="1:8">
      <c r="A367" s="2"/>
      <c r="B367" s="12"/>
      <c r="C367" s="2"/>
      <c r="D367" s="13"/>
      <c r="E367" s="8" t="str">
        <f>IF(C367="","",MAX(0,SUMIFS('CHIT REGISTER (ಮಾಸಿಕ ಚಿಟ್ ನೋಂದಣ'!$D$5:$D$502,'CHIT REGISTER (ಮಾಸಿಕ ಚಿಟ್ ನೋಂದಣ'!$F$5:$F$502,C367,'CHIT REGISTER (ಮಾಸಿಕ ಚಿಟ್ ನೋಂದಣ'!$G$5:$G$502,"UNPAID")-IF(F367="PAID",N(D367),0)))</f>
        <v/>
      </c>
      <c r="F367" s="4"/>
      <c r="G367" s="12"/>
      <c r="H367" s="2"/>
    </row>
    <row r="368" spans="1:8">
      <c r="A368" s="1"/>
      <c r="B368" s="14"/>
      <c r="C368" s="1"/>
      <c r="D368" s="15"/>
      <c r="E368" s="9" t="str">
        <f>IF(C368="","",MAX(0,SUMIFS('CHIT REGISTER (ಮಾಸಿಕ ಚಿಟ್ ನೋಂದಣ'!$D$5:$D$502,'CHIT REGISTER (ಮಾಸಿಕ ಚಿಟ್ ನೋಂದಣ'!$F$5:$F$502,C368,'CHIT REGISTER (ಮಾಸಿಕ ಚಿಟ್ ನೋಂದಣ'!$G$5:$G$502,"UNPAID")-IF(F368="PAID",N(D368),0)))</f>
        <v/>
      </c>
      <c r="F368" s="3"/>
      <c r="G368" s="14"/>
      <c r="H368" s="1"/>
    </row>
    <row r="369" spans="1:8">
      <c r="A369" s="2"/>
      <c r="B369" s="12"/>
      <c r="C369" s="2"/>
      <c r="D369" s="13"/>
      <c r="E369" s="8" t="str">
        <f>IF(C369="","",MAX(0,SUMIFS('CHIT REGISTER (ಮಾಸಿಕ ಚಿಟ್ ನೋಂದಣ'!$D$5:$D$502,'CHIT REGISTER (ಮಾಸಿಕ ಚಿಟ್ ನೋಂದಣ'!$F$5:$F$502,C369,'CHIT REGISTER (ಮಾಸಿಕ ಚಿಟ್ ನೋಂದಣ'!$G$5:$G$502,"UNPAID")-IF(F369="PAID",N(D369),0)))</f>
        <v/>
      </c>
      <c r="F369" s="4"/>
      <c r="G369" s="12"/>
      <c r="H369" s="2"/>
    </row>
    <row r="370" spans="1:8">
      <c r="A370" s="1"/>
      <c r="B370" s="14"/>
      <c r="C370" s="1"/>
      <c r="D370" s="15"/>
      <c r="E370" s="9" t="str">
        <f>IF(C370="","",MAX(0,SUMIFS('CHIT REGISTER (ಮಾಸಿಕ ಚಿಟ್ ನೋಂದಣ'!$D$5:$D$502,'CHIT REGISTER (ಮಾಸಿಕ ಚಿಟ್ ನೋಂದಣ'!$F$5:$F$502,C370,'CHIT REGISTER (ಮಾಸಿಕ ಚಿಟ್ ನೋಂದಣ'!$G$5:$G$502,"UNPAID")-IF(F370="PAID",N(D370),0)))</f>
        <v/>
      </c>
      <c r="F370" s="3"/>
      <c r="G370" s="14"/>
      <c r="H370" s="1"/>
    </row>
    <row r="371" spans="1:8">
      <c r="A371" s="2"/>
      <c r="B371" s="12"/>
      <c r="C371" s="2"/>
      <c r="D371" s="13"/>
      <c r="E371" s="8" t="str">
        <f>IF(C371="","",MAX(0,SUMIFS('CHIT REGISTER (ಮಾಸಿಕ ಚಿಟ್ ನೋಂದಣ'!$D$5:$D$502,'CHIT REGISTER (ಮಾಸಿಕ ಚಿಟ್ ನೋಂದಣ'!$F$5:$F$502,C371,'CHIT REGISTER (ಮಾಸಿಕ ಚಿಟ್ ನೋಂದಣ'!$G$5:$G$502,"UNPAID")-IF(F371="PAID",N(D371),0)))</f>
        <v/>
      </c>
      <c r="F371" s="4"/>
      <c r="G371" s="12"/>
      <c r="H371" s="2"/>
    </row>
    <row r="372" spans="1:8">
      <c r="A372" s="1"/>
      <c r="B372" s="14"/>
      <c r="C372" s="1"/>
      <c r="D372" s="15"/>
      <c r="E372" s="9" t="str">
        <f>IF(C372="","",MAX(0,SUMIFS('CHIT REGISTER (ಮಾಸಿಕ ಚಿಟ್ ನೋಂದಣ'!$D$5:$D$502,'CHIT REGISTER (ಮಾಸಿಕ ಚಿಟ್ ನೋಂದಣ'!$F$5:$F$502,C372,'CHIT REGISTER (ಮಾಸಿಕ ಚಿಟ್ ನೋಂದಣ'!$G$5:$G$502,"UNPAID")-IF(F372="PAID",N(D372),0)))</f>
        <v/>
      </c>
      <c r="F372" s="3"/>
      <c r="G372" s="14"/>
      <c r="H372" s="1"/>
    </row>
    <row r="373" spans="1:8">
      <c r="A373" s="2"/>
      <c r="B373" s="12"/>
      <c r="C373" s="2"/>
      <c r="D373" s="13"/>
      <c r="E373" s="8" t="str">
        <f>IF(C373="","",MAX(0,SUMIFS('CHIT REGISTER (ಮಾಸಿಕ ಚಿಟ್ ನೋಂದಣ'!$D$5:$D$502,'CHIT REGISTER (ಮಾಸಿಕ ಚಿಟ್ ನೋಂದಣ'!$F$5:$F$502,C373,'CHIT REGISTER (ಮಾಸಿಕ ಚಿಟ್ ನೋಂದಣ'!$G$5:$G$502,"UNPAID")-IF(F373="PAID",N(D373),0)))</f>
        <v/>
      </c>
      <c r="F373" s="4"/>
      <c r="G373" s="12"/>
      <c r="H373" s="2"/>
    </row>
    <row r="374" spans="1:8">
      <c r="A374" s="1"/>
      <c r="B374" s="14"/>
      <c r="C374" s="1"/>
      <c r="D374" s="15"/>
      <c r="E374" s="9" t="str">
        <f>IF(C374="","",MAX(0,SUMIFS('CHIT REGISTER (ಮಾಸಿಕ ಚಿಟ್ ನೋಂದಣ'!$D$5:$D$502,'CHIT REGISTER (ಮಾಸಿಕ ಚಿಟ್ ನೋಂದಣ'!$F$5:$F$502,C374,'CHIT REGISTER (ಮಾಸಿಕ ಚಿಟ್ ನೋಂದಣ'!$G$5:$G$502,"UNPAID")-IF(F374="PAID",N(D374),0)))</f>
        <v/>
      </c>
      <c r="F374" s="3"/>
      <c r="G374" s="14"/>
      <c r="H374" s="1"/>
    </row>
    <row r="375" spans="1:8">
      <c r="A375" s="2"/>
      <c r="B375" s="12"/>
      <c r="C375" s="2"/>
      <c r="D375" s="13"/>
      <c r="E375" s="8" t="str">
        <f>IF(C375="","",MAX(0,SUMIFS('CHIT REGISTER (ಮಾಸಿಕ ಚಿಟ್ ನೋಂದಣ'!$D$5:$D$502,'CHIT REGISTER (ಮಾಸಿಕ ಚಿಟ್ ನೋಂದಣ'!$F$5:$F$502,C375,'CHIT REGISTER (ಮಾಸಿಕ ಚಿಟ್ ನೋಂದಣ'!$G$5:$G$502,"UNPAID")-IF(F375="PAID",N(D375),0)))</f>
        <v/>
      </c>
      <c r="F375" s="4"/>
      <c r="G375" s="12"/>
      <c r="H375" s="2"/>
    </row>
    <row r="376" spans="1:8">
      <c r="A376" s="1"/>
      <c r="B376" s="14"/>
      <c r="C376" s="1"/>
      <c r="D376" s="15"/>
      <c r="E376" s="9" t="str">
        <f>IF(C376="","",MAX(0,SUMIFS('CHIT REGISTER (ಮಾಸಿಕ ಚಿಟ್ ನೋಂದಣ'!$D$5:$D$502,'CHIT REGISTER (ಮಾಸಿಕ ಚಿಟ್ ನೋಂದಣ'!$F$5:$F$502,C376,'CHIT REGISTER (ಮಾಸಿಕ ಚಿಟ್ ನೋಂದಣ'!$G$5:$G$502,"UNPAID")-IF(F376="PAID",N(D376),0)))</f>
        <v/>
      </c>
      <c r="F376" s="3"/>
      <c r="G376" s="14"/>
      <c r="H376" s="1"/>
    </row>
    <row r="377" spans="1:8">
      <c r="A377" s="2"/>
      <c r="B377" s="12"/>
      <c r="C377" s="2"/>
      <c r="D377" s="13"/>
      <c r="E377" s="8" t="str">
        <f>IF(C377="","",MAX(0,SUMIFS('CHIT REGISTER (ಮಾಸಿಕ ಚಿಟ್ ನೋಂದಣ'!$D$5:$D$502,'CHIT REGISTER (ಮಾಸಿಕ ಚಿಟ್ ನೋಂದಣ'!$F$5:$F$502,C377,'CHIT REGISTER (ಮಾಸಿಕ ಚಿಟ್ ನೋಂದಣ'!$G$5:$G$502,"UNPAID")-IF(F377="PAID",N(D377),0)))</f>
        <v/>
      </c>
      <c r="F377" s="4"/>
      <c r="G377" s="12"/>
      <c r="H377" s="2"/>
    </row>
    <row r="378" spans="1:8">
      <c r="A378" s="1"/>
      <c r="B378" s="14"/>
      <c r="C378" s="1"/>
      <c r="D378" s="15"/>
      <c r="E378" s="9" t="str">
        <f>IF(C378="","",MAX(0,SUMIFS('CHIT REGISTER (ಮಾಸಿಕ ಚಿಟ್ ನೋಂದಣ'!$D$5:$D$502,'CHIT REGISTER (ಮಾಸಿಕ ಚಿಟ್ ನೋಂದಣ'!$F$5:$F$502,C378,'CHIT REGISTER (ಮಾಸಿಕ ಚಿಟ್ ನೋಂದಣ'!$G$5:$G$502,"UNPAID")-IF(F378="PAID",N(D378),0)))</f>
        <v/>
      </c>
      <c r="F378" s="3"/>
      <c r="G378" s="14"/>
      <c r="H378" s="1"/>
    </row>
    <row r="379" spans="1:8">
      <c r="A379" s="2"/>
      <c r="B379" s="12"/>
      <c r="C379" s="2"/>
      <c r="D379" s="13"/>
      <c r="E379" s="8" t="str">
        <f>IF(C379="","",MAX(0,SUMIFS('CHIT REGISTER (ಮಾಸಿಕ ಚಿಟ್ ನೋಂದಣ'!$D$5:$D$502,'CHIT REGISTER (ಮಾಸಿಕ ಚಿಟ್ ನೋಂದಣ'!$F$5:$F$502,C379,'CHIT REGISTER (ಮಾಸಿಕ ಚಿಟ್ ನೋಂದಣ'!$G$5:$G$502,"UNPAID")-IF(F379="PAID",N(D379),0)))</f>
        <v/>
      </c>
      <c r="F379" s="4"/>
      <c r="G379" s="12"/>
      <c r="H379" s="2"/>
    </row>
    <row r="380" spans="1:8">
      <c r="A380" s="1"/>
      <c r="B380" s="14"/>
      <c r="C380" s="1"/>
      <c r="D380" s="15"/>
      <c r="E380" s="9" t="str">
        <f>IF(C380="","",MAX(0,SUMIFS('CHIT REGISTER (ಮಾಸಿಕ ಚಿಟ್ ನೋಂದಣ'!$D$5:$D$502,'CHIT REGISTER (ಮಾಸಿಕ ಚಿಟ್ ನೋಂದಣ'!$F$5:$F$502,C380,'CHIT REGISTER (ಮಾಸಿಕ ಚಿಟ್ ನೋಂದಣ'!$G$5:$G$502,"UNPAID")-IF(F380="PAID",N(D380),0)))</f>
        <v/>
      </c>
      <c r="F380" s="3"/>
      <c r="G380" s="14"/>
      <c r="H380" s="1"/>
    </row>
    <row r="381" spans="1:8">
      <c r="A381" s="2"/>
      <c r="B381" s="12"/>
      <c r="C381" s="2"/>
      <c r="D381" s="13"/>
      <c r="E381" s="8" t="str">
        <f>IF(C381="","",MAX(0,SUMIFS('CHIT REGISTER (ಮಾಸಿಕ ಚಿಟ್ ನೋಂದಣ'!$D$5:$D$502,'CHIT REGISTER (ಮಾಸಿಕ ಚಿಟ್ ನೋಂದಣ'!$F$5:$F$502,C381,'CHIT REGISTER (ಮಾಸಿಕ ಚಿಟ್ ನೋಂದಣ'!$G$5:$G$502,"UNPAID")-IF(F381="PAID",N(D381),0)))</f>
        <v/>
      </c>
      <c r="F381" s="4"/>
      <c r="G381" s="12"/>
      <c r="H381" s="2"/>
    </row>
    <row r="382" spans="1:8">
      <c r="A382" s="1"/>
      <c r="B382" s="14"/>
      <c r="C382" s="1"/>
      <c r="D382" s="15"/>
      <c r="E382" s="9" t="str">
        <f>IF(C382="","",MAX(0,SUMIFS('CHIT REGISTER (ಮಾಸಿಕ ಚಿಟ್ ನೋಂದಣ'!$D$5:$D$502,'CHIT REGISTER (ಮಾಸಿಕ ಚಿಟ್ ನೋಂದಣ'!$F$5:$F$502,C382,'CHIT REGISTER (ಮಾಸಿಕ ಚಿಟ್ ನೋಂದಣ'!$G$5:$G$502,"UNPAID")-IF(F382="PAID",N(D382),0)))</f>
        <v/>
      </c>
      <c r="F382" s="3"/>
      <c r="G382" s="14"/>
      <c r="H382" s="1"/>
    </row>
    <row r="383" spans="1:8">
      <c r="A383" s="2"/>
      <c r="B383" s="12"/>
      <c r="C383" s="2"/>
      <c r="D383" s="13"/>
      <c r="E383" s="8" t="str">
        <f>IF(C383="","",MAX(0,SUMIFS('CHIT REGISTER (ಮಾಸಿಕ ಚಿಟ್ ನೋಂದಣ'!$D$5:$D$502,'CHIT REGISTER (ಮಾಸಿಕ ಚಿಟ್ ನೋಂದಣ'!$F$5:$F$502,C383,'CHIT REGISTER (ಮಾಸಿಕ ಚಿಟ್ ನೋಂದಣ'!$G$5:$G$502,"UNPAID")-IF(F383="PAID",N(D383),0)))</f>
        <v/>
      </c>
      <c r="F383" s="4"/>
      <c r="G383" s="12"/>
      <c r="H383" s="2"/>
    </row>
    <row r="384" spans="1:8">
      <c r="A384" s="1"/>
      <c r="B384" s="14"/>
      <c r="C384" s="1"/>
      <c r="D384" s="15"/>
      <c r="E384" s="9" t="str">
        <f>IF(C384="","",MAX(0,SUMIFS('CHIT REGISTER (ಮಾಸಿಕ ಚಿಟ್ ನೋಂದಣ'!$D$5:$D$502,'CHIT REGISTER (ಮಾಸಿಕ ಚಿಟ್ ನೋಂದಣ'!$F$5:$F$502,C384,'CHIT REGISTER (ಮಾಸಿಕ ಚಿಟ್ ನೋಂದಣ'!$G$5:$G$502,"UNPAID")-IF(F384="PAID",N(D384),0)))</f>
        <v/>
      </c>
      <c r="F384" s="3"/>
      <c r="G384" s="14"/>
      <c r="H384" s="1"/>
    </row>
    <row r="385" spans="1:8">
      <c r="A385" s="2"/>
      <c r="B385" s="12"/>
      <c r="C385" s="2"/>
      <c r="D385" s="13"/>
      <c r="E385" s="8" t="str">
        <f>IF(C385="","",MAX(0,SUMIFS('CHIT REGISTER (ಮಾಸಿಕ ಚಿಟ್ ನೋಂದಣ'!$D$5:$D$502,'CHIT REGISTER (ಮಾಸಿಕ ಚಿಟ್ ನೋಂದಣ'!$F$5:$F$502,C385,'CHIT REGISTER (ಮಾಸಿಕ ಚಿಟ್ ನೋಂದಣ'!$G$5:$G$502,"UNPAID")-IF(F385="PAID",N(D385),0)))</f>
        <v/>
      </c>
      <c r="F385" s="4"/>
      <c r="G385" s="12"/>
      <c r="H385" s="2"/>
    </row>
    <row r="386" spans="1:8">
      <c r="A386" s="1"/>
      <c r="B386" s="14"/>
      <c r="C386" s="1"/>
      <c r="D386" s="15"/>
      <c r="E386" s="9" t="str">
        <f>IF(C386="","",MAX(0,SUMIFS('CHIT REGISTER (ಮಾಸಿಕ ಚಿಟ್ ನೋಂದಣ'!$D$5:$D$502,'CHIT REGISTER (ಮಾಸಿಕ ಚಿಟ್ ನೋಂದಣ'!$F$5:$F$502,C386,'CHIT REGISTER (ಮಾಸಿಕ ಚಿಟ್ ನೋಂದಣ'!$G$5:$G$502,"UNPAID")-IF(F386="PAID",N(D386),0)))</f>
        <v/>
      </c>
      <c r="F386" s="3"/>
      <c r="G386" s="14"/>
      <c r="H386" s="1"/>
    </row>
    <row r="387" spans="1:8">
      <c r="A387" s="2"/>
      <c r="B387" s="12"/>
      <c r="C387" s="2"/>
      <c r="D387" s="13"/>
      <c r="E387" s="8" t="str">
        <f>IF(C387="","",MAX(0,SUMIFS('CHIT REGISTER (ಮಾಸಿಕ ಚಿಟ್ ನೋಂದಣ'!$D$5:$D$502,'CHIT REGISTER (ಮಾಸಿಕ ಚಿಟ್ ನೋಂದಣ'!$F$5:$F$502,C387,'CHIT REGISTER (ಮಾಸಿಕ ಚಿಟ್ ನೋಂದಣ'!$G$5:$G$502,"UNPAID")-IF(F387="PAID",N(D387),0)))</f>
        <v/>
      </c>
      <c r="F387" s="4"/>
      <c r="G387" s="12"/>
      <c r="H387" s="2"/>
    </row>
    <row r="388" spans="1:8">
      <c r="A388" s="1"/>
      <c r="B388" s="14"/>
      <c r="C388" s="1"/>
      <c r="D388" s="15"/>
      <c r="E388" s="9" t="str">
        <f>IF(C388="","",MAX(0,SUMIFS('CHIT REGISTER (ಮಾಸಿಕ ಚಿಟ್ ನೋಂದಣ'!$D$5:$D$502,'CHIT REGISTER (ಮಾಸಿಕ ಚಿಟ್ ನೋಂದಣ'!$F$5:$F$502,C388,'CHIT REGISTER (ಮಾಸಿಕ ಚಿಟ್ ನೋಂದಣ'!$G$5:$G$502,"UNPAID")-IF(F388="PAID",N(D388),0)))</f>
        <v/>
      </c>
      <c r="F388" s="3"/>
      <c r="G388" s="14"/>
      <c r="H388" s="1"/>
    </row>
    <row r="389" spans="1:8">
      <c r="A389" s="2"/>
      <c r="B389" s="12"/>
      <c r="C389" s="2"/>
      <c r="D389" s="13"/>
      <c r="E389" s="8" t="str">
        <f>IF(C389="","",MAX(0,SUMIFS('CHIT REGISTER (ಮಾಸಿಕ ಚಿಟ್ ನೋಂದಣ'!$D$5:$D$502,'CHIT REGISTER (ಮಾಸಿಕ ಚಿಟ್ ನೋಂದಣ'!$F$5:$F$502,C389,'CHIT REGISTER (ಮಾಸಿಕ ಚಿಟ್ ನೋಂದಣ'!$G$5:$G$502,"UNPAID")-IF(F389="PAID",N(D389),0)))</f>
        <v/>
      </c>
      <c r="F389" s="4"/>
      <c r="G389" s="12"/>
      <c r="H389" s="2"/>
    </row>
    <row r="390" spans="1:8">
      <c r="A390" s="1"/>
      <c r="B390" s="14"/>
      <c r="C390" s="1"/>
      <c r="D390" s="15"/>
      <c r="E390" s="9" t="str">
        <f>IF(C390="","",MAX(0,SUMIFS('CHIT REGISTER (ಮಾಸಿಕ ಚಿಟ್ ನೋಂದಣ'!$D$5:$D$502,'CHIT REGISTER (ಮಾಸಿಕ ಚಿಟ್ ನೋಂದಣ'!$F$5:$F$502,C390,'CHIT REGISTER (ಮಾಸಿಕ ಚಿಟ್ ನೋಂದಣ'!$G$5:$G$502,"UNPAID")-IF(F390="PAID",N(D390),0)))</f>
        <v/>
      </c>
      <c r="F390" s="3"/>
      <c r="G390" s="14"/>
      <c r="H390" s="1"/>
    </row>
    <row r="391" spans="1:8">
      <c r="A391" s="2"/>
      <c r="B391" s="12"/>
      <c r="C391" s="2"/>
      <c r="D391" s="13"/>
      <c r="E391" s="8" t="str">
        <f>IF(C391="","",MAX(0,SUMIFS('CHIT REGISTER (ಮಾಸಿಕ ಚಿಟ್ ನೋಂದಣ'!$D$5:$D$502,'CHIT REGISTER (ಮಾಸಿಕ ಚಿಟ್ ನೋಂದಣ'!$F$5:$F$502,C391,'CHIT REGISTER (ಮಾಸಿಕ ಚಿಟ್ ನೋಂದಣ'!$G$5:$G$502,"UNPAID")-IF(F391="PAID",N(D391),0)))</f>
        <v/>
      </c>
      <c r="F391" s="4"/>
      <c r="G391" s="12"/>
      <c r="H391" s="2"/>
    </row>
    <row r="392" spans="1:8">
      <c r="A392" s="1"/>
      <c r="B392" s="14"/>
      <c r="C392" s="1"/>
      <c r="D392" s="15"/>
      <c r="E392" s="9" t="str">
        <f>IF(C392="","",MAX(0,SUMIFS('CHIT REGISTER (ಮಾಸಿಕ ಚಿಟ್ ನೋಂದಣ'!$D$5:$D$502,'CHIT REGISTER (ಮಾಸಿಕ ಚಿಟ್ ನೋಂದಣ'!$F$5:$F$502,C392,'CHIT REGISTER (ಮಾಸಿಕ ಚಿಟ್ ನೋಂದಣ'!$G$5:$G$502,"UNPAID")-IF(F392="PAID",N(D392),0)))</f>
        <v/>
      </c>
      <c r="F392" s="3"/>
      <c r="G392" s="14"/>
      <c r="H392" s="1"/>
    </row>
    <row r="393" spans="1:8">
      <c r="A393" s="2"/>
      <c r="B393" s="12"/>
      <c r="C393" s="2"/>
      <c r="D393" s="13"/>
      <c r="E393" s="8" t="str">
        <f>IF(C393="","",MAX(0,SUMIFS('CHIT REGISTER (ಮಾಸಿಕ ಚಿಟ್ ನೋಂದಣ'!$D$5:$D$502,'CHIT REGISTER (ಮಾಸಿಕ ಚಿಟ್ ನೋಂದಣ'!$F$5:$F$502,C393,'CHIT REGISTER (ಮಾಸಿಕ ಚಿಟ್ ನೋಂದಣ'!$G$5:$G$502,"UNPAID")-IF(F393="PAID",N(D393),0)))</f>
        <v/>
      </c>
      <c r="F393" s="4"/>
      <c r="G393" s="12"/>
      <c r="H393" s="2"/>
    </row>
    <row r="394" spans="1:8">
      <c r="A394" s="1"/>
      <c r="B394" s="14"/>
      <c r="C394" s="1"/>
      <c r="D394" s="15"/>
      <c r="E394" s="9" t="str">
        <f>IF(C394="","",MAX(0,SUMIFS('CHIT REGISTER (ಮಾಸಿಕ ಚಿಟ್ ನೋಂದಣ'!$D$5:$D$502,'CHIT REGISTER (ಮಾಸಿಕ ಚಿಟ್ ನೋಂದಣ'!$F$5:$F$502,C394,'CHIT REGISTER (ಮಾಸಿಕ ಚಿಟ್ ನೋಂದಣ'!$G$5:$G$502,"UNPAID")-IF(F394="PAID",N(D394),0)))</f>
        <v/>
      </c>
      <c r="F394" s="3"/>
      <c r="G394" s="14"/>
      <c r="H394" s="1"/>
    </row>
    <row r="395" spans="1:8">
      <c r="A395" s="2"/>
      <c r="B395" s="12"/>
      <c r="C395" s="2"/>
      <c r="D395" s="13"/>
      <c r="E395" s="8" t="str">
        <f>IF(C395="","",MAX(0,SUMIFS('CHIT REGISTER (ಮಾಸಿಕ ಚಿಟ್ ನೋಂದಣ'!$D$5:$D$502,'CHIT REGISTER (ಮಾಸಿಕ ಚಿಟ್ ನೋಂದಣ'!$F$5:$F$502,C395,'CHIT REGISTER (ಮಾಸಿಕ ಚಿಟ್ ನೋಂದಣ'!$G$5:$G$502,"UNPAID")-IF(F395="PAID",N(D395),0)))</f>
        <v/>
      </c>
      <c r="F395" s="4"/>
      <c r="G395" s="12"/>
      <c r="H395" s="2"/>
    </row>
    <row r="396" spans="1:8">
      <c r="A396" s="1"/>
      <c r="B396" s="14"/>
      <c r="C396" s="1"/>
      <c r="D396" s="15"/>
      <c r="E396" s="9" t="str">
        <f>IF(C396="","",MAX(0,SUMIFS('CHIT REGISTER (ಮಾಸಿಕ ಚಿಟ್ ನೋಂದಣ'!$D$5:$D$502,'CHIT REGISTER (ಮಾಸಿಕ ಚಿಟ್ ನೋಂದಣ'!$F$5:$F$502,C396,'CHIT REGISTER (ಮಾಸಿಕ ಚಿಟ್ ನೋಂದಣ'!$G$5:$G$502,"UNPAID")-IF(F396="PAID",N(D396),0)))</f>
        <v/>
      </c>
      <c r="F396" s="3"/>
      <c r="G396" s="14"/>
      <c r="H396" s="1"/>
    </row>
    <row r="397" spans="1:8">
      <c r="A397" s="2"/>
      <c r="B397" s="12"/>
      <c r="C397" s="2"/>
      <c r="D397" s="13"/>
      <c r="E397" s="8" t="str">
        <f>IF(C397="","",MAX(0,SUMIFS('CHIT REGISTER (ಮಾಸಿಕ ಚಿಟ್ ನೋಂದಣ'!$D$5:$D$502,'CHIT REGISTER (ಮಾಸಿಕ ಚಿಟ್ ನೋಂದಣ'!$F$5:$F$502,C397,'CHIT REGISTER (ಮಾಸಿಕ ಚಿಟ್ ನೋಂದಣ'!$G$5:$G$502,"UNPAID")-IF(F397="PAID",N(D397),0)))</f>
        <v/>
      </c>
      <c r="F397" s="4"/>
      <c r="G397" s="12"/>
      <c r="H397" s="2"/>
    </row>
    <row r="398" spans="1:8">
      <c r="A398" s="1"/>
      <c r="B398" s="14"/>
      <c r="C398" s="1"/>
      <c r="D398" s="15"/>
      <c r="E398" s="9" t="str">
        <f>IF(C398="","",MAX(0,SUMIFS('CHIT REGISTER (ಮಾಸಿಕ ಚಿಟ್ ನೋಂದಣ'!$D$5:$D$502,'CHIT REGISTER (ಮಾಸಿಕ ಚಿಟ್ ನೋಂದಣ'!$F$5:$F$502,C398,'CHIT REGISTER (ಮಾಸಿಕ ಚಿಟ್ ನೋಂದಣ'!$G$5:$G$502,"UNPAID")-IF(F398="PAID",N(D398),0)))</f>
        <v/>
      </c>
      <c r="F398" s="3"/>
      <c r="G398" s="14"/>
      <c r="H398" s="1"/>
    </row>
    <row r="399" spans="1:8">
      <c r="A399" s="2"/>
      <c r="B399" s="12"/>
      <c r="C399" s="2"/>
      <c r="D399" s="13"/>
      <c r="E399" s="8" t="str">
        <f>IF(C399="","",MAX(0,SUMIFS('CHIT REGISTER (ಮಾಸಿಕ ಚಿಟ್ ನೋಂದಣ'!$D$5:$D$502,'CHIT REGISTER (ಮಾಸಿಕ ಚಿಟ್ ನೋಂದಣ'!$F$5:$F$502,C399,'CHIT REGISTER (ಮಾಸಿಕ ಚಿಟ್ ನೋಂದಣ'!$G$5:$G$502,"UNPAID")-IF(F399="PAID",N(D399),0)))</f>
        <v/>
      </c>
      <c r="F399" s="4"/>
      <c r="G399" s="12"/>
      <c r="H399" s="2"/>
    </row>
    <row r="400" spans="1:8">
      <c r="A400" s="1"/>
      <c r="B400" s="14"/>
      <c r="C400" s="1"/>
      <c r="D400" s="15"/>
      <c r="E400" s="9" t="str">
        <f>IF(C400="","",MAX(0,SUMIFS('CHIT REGISTER (ಮಾಸಿಕ ಚಿಟ್ ನೋಂದಣ'!$D$5:$D$502,'CHIT REGISTER (ಮಾಸಿಕ ಚಿಟ್ ನೋಂದಣ'!$F$5:$F$502,C400,'CHIT REGISTER (ಮಾಸಿಕ ಚಿಟ್ ನೋಂದಣ'!$G$5:$G$502,"UNPAID")-IF(F400="PAID",N(D400),0)))</f>
        <v/>
      </c>
      <c r="F400" s="3"/>
      <c r="G400" s="14"/>
      <c r="H400" s="1"/>
    </row>
    <row r="401" spans="1:8">
      <c r="A401" s="2"/>
      <c r="B401" s="12"/>
      <c r="C401" s="2"/>
      <c r="D401" s="13"/>
      <c r="E401" s="8" t="str">
        <f>IF(C401="","",MAX(0,SUMIFS('CHIT REGISTER (ಮಾಸಿಕ ಚಿಟ್ ನೋಂದಣ'!$D$5:$D$502,'CHIT REGISTER (ಮಾಸಿಕ ಚಿಟ್ ನೋಂದಣ'!$F$5:$F$502,C401,'CHIT REGISTER (ಮಾಸಿಕ ಚಿಟ್ ನೋಂದಣ'!$G$5:$G$502,"UNPAID")-IF(F401="PAID",N(D401),0)))</f>
        <v/>
      </c>
      <c r="F401" s="4"/>
      <c r="G401" s="12"/>
      <c r="H401" s="2"/>
    </row>
    <row r="402" spans="1:8">
      <c r="A402" s="1"/>
      <c r="B402" s="14"/>
      <c r="C402" s="1"/>
      <c r="D402" s="15"/>
      <c r="E402" s="9" t="str">
        <f>IF(C402="","",MAX(0,SUMIFS('CHIT REGISTER (ಮಾಸಿಕ ಚಿಟ್ ನೋಂದಣ'!$D$5:$D$502,'CHIT REGISTER (ಮಾಸಿಕ ಚಿಟ್ ನೋಂದಣ'!$F$5:$F$502,C402,'CHIT REGISTER (ಮಾಸಿಕ ಚಿಟ್ ನೋಂದಣ'!$G$5:$G$502,"UNPAID")-IF(F402="PAID",N(D402),0)))</f>
        <v/>
      </c>
      <c r="F402" s="3"/>
      <c r="G402" s="14"/>
      <c r="H402" s="1"/>
    </row>
    <row r="403" spans="1:8">
      <c r="A403" s="2"/>
      <c r="B403" s="12"/>
      <c r="C403" s="2"/>
      <c r="D403" s="13"/>
      <c r="E403" s="8" t="str">
        <f>IF(C403="","",MAX(0,SUMIFS('CHIT REGISTER (ಮಾಸಿಕ ಚಿಟ್ ನೋಂದಣ'!$D$5:$D$502,'CHIT REGISTER (ಮಾಸಿಕ ಚಿಟ್ ನೋಂದಣ'!$F$5:$F$502,C403,'CHIT REGISTER (ಮಾಸಿಕ ಚಿಟ್ ನೋಂದಣ'!$G$5:$G$502,"UNPAID")-IF(F403="PAID",N(D403),0)))</f>
        <v/>
      </c>
      <c r="F403" s="4"/>
      <c r="G403" s="12"/>
      <c r="H403" s="2"/>
    </row>
    <row r="404" spans="1:8">
      <c r="A404" s="1"/>
      <c r="B404" s="14"/>
      <c r="C404" s="1"/>
      <c r="D404" s="15"/>
      <c r="E404" s="9" t="str">
        <f>IF(C404="","",MAX(0,SUMIFS('CHIT REGISTER (ಮಾಸಿಕ ಚಿಟ್ ನೋಂದಣ'!$D$5:$D$502,'CHIT REGISTER (ಮಾಸಿಕ ಚಿಟ್ ನೋಂದಣ'!$F$5:$F$502,C404,'CHIT REGISTER (ಮಾಸಿಕ ಚಿಟ್ ನೋಂದಣ'!$G$5:$G$502,"UNPAID")-IF(F404="PAID",N(D404),0)))</f>
        <v/>
      </c>
      <c r="F404" s="3"/>
      <c r="G404" s="14"/>
      <c r="H404" s="1"/>
    </row>
    <row r="405" spans="1:8">
      <c r="A405" s="2"/>
      <c r="B405" s="12"/>
      <c r="C405" s="2"/>
      <c r="D405" s="13"/>
      <c r="E405" s="8" t="str">
        <f>IF(C405="","",MAX(0,SUMIFS('CHIT REGISTER (ಮಾಸಿಕ ಚಿಟ್ ನೋಂದಣ'!$D$5:$D$502,'CHIT REGISTER (ಮಾಸಿಕ ಚಿಟ್ ನೋಂದಣ'!$F$5:$F$502,C405,'CHIT REGISTER (ಮಾಸಿಕ ಚಿಟ್ ನೋಂದಣ'!$G$5:$G$502,"UNPAID")-IF(F405="PAID",N(D405),0)))</f>
        <v/>
      </c>
      <c r="F405" s="4"/>
      <c r="G405" s="12"/>
      <c r="H405" s="2"/>
    </row>
    <row r="406" spans="1:8">
      <c r="A406" s="1"/>
      <c r="B406" s="14"/>
      <c r="C406" s="1"/>
      <c r="D406" s="15"/>
      <c r="E406" s="9" t="str">
        <f>IF(C406="","",MAX(0,SUMIFS('CHIT REGISTER (ಮಾಸಿಕ ಚಿಟ್ ನೋಂದಣ'!$D$5:$D$502,'CHIT REGISTER (ಮಾಸಿಕ ಚಿಟ್ ನೋಂದಣ'!$F$5:$F$502,C406,'CHIT REGISTER (ಮಾಸಿಕ ಚಿಟ್ ನೋಂದಣ'!$G$5:$G$502,"UNPAID")-IF(F406="PAID",N(D406),0)))</f>
        <v/>
      </c>
      <c r="F406" s="3"/>
      <c r="G406" s="14"/>
      <c r="H406" s="1"/>
    </row>
    <row r="407" spans="1:8">
      <c r="A407" s="2"/>
      <c r="B407" s="12"/>
      <c r="C407" s="2"/>
      <c r="D407" s="13"/>
      <c r="E407" s="8" t="str">
        <f>IF(C407="","",MAX(0,SUMIFS('CHIT REGISTER (ಮಾಸಿಕ ಚಿಟ್ ನೋಂದಣ'!$D$5:$D$502,'CHIT REGISTER (ಮಾಸಿಕ ಚಿಟ್ ನೋಂದಣ'!$F$5:$F$502,C407,'CHIT REGISTER (ಮಾಸಿಕ ಚಿಟ್ ನೋಂದಣ'!$G$5:$G$502,"UNPAID")-IF(F407="PAID",N(D407),0)))</f>
        <v/>
      </c>
      <c r="F407" s="4"/>
      <c r="G407" s="12"/>
      <c r="H407" s="2"/>
    </row>
    <row r="408" spans="1:8">
      <c r="A408" s="1"/>
      <c r="B408" s="14"/>
      <c r="C408" s="1"/>
      <c r="D408" s="15"/>
      <c r="E408" s="9" t="str">
        <f>IF(C408="","",MAX(0,SUMIFS('CHIT REGISTER (ಮಾಸಿಕ ಚಿಟ್ ನೋಂದಣ'!$D$5:$D$502,'CHIT REGISTER (ಮಾಸಿಕ ಚಿಟ್ ನೋಂದಣ'!$F$5:$F$502,C408,'CHIT REGISTER (ಮಾಸಿಕ ಚಿಟ್ ನೋಂದಣ'!$G$5:$G$502,"UNPAID")-IF(F408="PAID",N(D408),0)))</f>
        <v/>
      </c>
      <c r="F408" s="3"/>
      <c r="G408" s="14"/>
      <c r="H408" s="1"/>
    </row>
    <row r="409" spans="1:8">
      <c r="A409" s="2"/>
      <c r="B409" s="12"/>
      <c r="C409" s="2"/>
      <c r="D409" s="13"/>
      <c r="E409" s="8" t="str">
        <f>IF(C409="","",MAX(0,SUMIFS('CHIT REGISTER (ಮಾಸಿಕ ಚಿಟ್ ನೋಂದಣ'!$D$5:$D$502,'CHIT REGISTER (ಮಾಸಿಕ ಚಿಟ್ ನೋಂದಣ'!$F$5:$F$502,C409,'CHIT REGISTER (ಮಾಸಿಕ ಚಿಟ್ ನೋಂದಣ'!$G$5:$G$502,"UNPAID")-IF(F409="PAID",N(D409),0)))</f>
        <v/>
      </c>
      <c r="F409" s="4"/>
      <c r="G409" s="12"/>
      <c r="H409" s="2"/>
    </row>
    <row r="410" spans="1:8">
      <c r="A410" s="1"/>
      <c r="B410" s="14"/>
      <c r="C410" s="1"/>
      <c r="D410" s="15"/>
      <c r="E410" s="9" t="str">
        <f>IF(C410="","",MAX(0,SUMIFS('CHIT REGISTER (ಮಾಸಿಕ ಚಿಟ್ ನೋಂದಣ'!$D$5:$D$502,'CHIT REGISTER (ಮಾಸಿಕ ಚಿಟ್ ನೋಂದಣ'!$F$5:$F$502,C410,'CHIT REGISTER (ಮಾಸಿಕ ಚಿಟ್ ನೋಂದಣ'!$G$5:$G$502,"UNPAID")-IF(F410="PAID",N(D410),0)))</f>
        <v/>
      </c>
      <c r="F410" s="3"/>
      <c r="G410" s="14"/>
      <c r="H410" s="1"/>
    </row>
    <row r="411" spans="1:8">
      <c r="A411" s="2"/>
      <c r="B411" s="12"/>
      <c r="C411" s="2"/>
      <c r="D411" s="13"/>
      <c r="E411" s="8" t="str">
        <f>IF(C411="","",MAX(0,SUMIFS('CHIT REGISTER (ಮಾಸಿಕ ಚಿಟ್ ನೋಂದಣ'!$D$5:$D$502,'CHIT REGISTER (ಮಾಸಿಕ ಚಿಟ್ ನೋಂದಣ'!$F$5:$F$502,C411,'CHIT REGISTER (ಮಾಸಿಕ ಚಿಟ್ ನೋಂದಣ'!$G$5:$G$502,"UNPAID")-IF(F411="PAID",N(D411),0)))</f>
        <v/>
      </c>
      <c r="F411" s="4"/>
      <c r="G411" s="12"/>
      <c r="H411" s="2"/>
    </row>
    <row r="412" spans="1:8">
      <c r="A412" s="1"/>
      <c r="B412" s="14"/>
      <c r="C412" s="1"/>
      <c r="D412" s="15"/>
      <c r="E412" s="9" t="str">
        <f>IF(C412="","",MAX(0,SUMIFS('CHIT REGISTER (ಮಾಸಿಕ ಚಿಟ್ ನೋಂದಣ'!$D$5:$D$502,'CHIT REGISTER (ಮಾಸಿಕ ಚಿಟ್ ನೋಂದಣ'!$F$5:$F$502,C412,'CHIT REGISTER (ಮಾಸಿಕ ಚಿಟ್ ನೋಂದಣ'!$G$5:$G$502,"UNPAID")-IF(F412="PAID",N(D412),0)))</f>
        <v/>
      </c>
      <c r="F412" s="3"/>
      <c r="G412" s="14"/>
      <c r="H412" s="1"/>
    </row>
    <row r="413" spans="1:8">
      <c r="A413" s="2"/>
      <c r="B413" s="12"/>
      <c r="C413" s="2"/>
      <c r="D413" s="13"/>
      <c r="E413" s="8" t="str">
        <f>IF(C413="","",MAX(0,SUMIFS('CHIT REGISTER (ಮಾಸಿಕ ಚಿಟ್ ನೋಂದಣ'!$D$5:$D$502,'CHIT REGISTER (ಮಾಸಿಕ ಚಿಟ್ ನೋಂದಣ'!$F$5:$F$502,C413,'CHIT REGISTER (ಮಾಸಿಕ ಚಿಟ್ ನೋಂದಣ'!$G$5:$G$502,"UNPAID")-IF(F413="PAID",N(D413),0)))</f>
        <v/>
      </c>
      <c r="F413" s="4"/>
      <c r="G413" s="12"/>
      <c r="H413" s="2"/>
    </row>
    <row r="414" spans="1:8">
      <c r="A414" s="1"/>
      <c r="B414" s="14"/>
      <c r="C414" s="1"/>
      <c r="D414" s="15"/>
      <c r="E414" s="9" t="str">
        <f>IF(C414="","",MAX(0,SUMIFS('CHIT REGISTER (ಮಾಸಿಕ ಚಿಟ್ ನೋಂದಣ'!$D$5:$D$502,'CHIT REGISTER (ಮಾಸಿಕ ಚಿಟ್ ನೋಂದಣ'!$F$5:$F$502,C414,'CHIT REGISTER (ಮಾಸಿಕ ಚಿಟ್ ನೋಂದಣ'!$G$5:$G$502,"UNPAID")-IF(F414="PAID",N(D414),0)))</f>
        <v/>
      </c>
      <c r="F414" s="3"/>
      <c r="G414" s="14"/>
      <c r="H414" s="1"/>
    </row>
    <row r="415" spans="1:8">
      <c r="A415" s="2"/>
      <c r="B415" s="12"/>
      <c r="C415" s="2"/>
      <c r="D415" s="13"/>
      <c r="E415" s="8" t="str">
        <f>IF(C415="","",MAX(0,SUMIFS('CHIT REGISTER (ಮಾಸಿಕ ಚಿಟ್ ನೋಂದಣ'!$D$5:$D$502,'CHIT REGISTER (ಮಾಸಿಕ ಚಿಟ್ ನೋಂದಣ'!$F$5:$F$502,C415,'CHIT REGISTER (ಮಾಸಿಕ ಚಿಟ್ ನೋಂದಣ'!$G$5:$G$502,"UNPAID")-IF(F415="PAID",N(D415),0)))</f>
        <v/>
      </c>
      <c r="F415" s="4"/>
      <c r="G415" s="12"/>
      <c r="H415" s="2"/>
    </row>
    <row r="416" spans="1:8">
      <c r="A416" s="1"/>
      <c r="B416" s="14"/>
      <c r="C416" s="1"/>
      <c r="D416" s="15"/>
      <c r="E416" s="9" t="str">
        <f>IF(C416="","",MAX(0,SUMIFS('CHIT REGISTER (ಮಾಸಿಕ ಚಿಟ್ ನೋಂದಣ'!$D$5:$D$502,'CHIT REGISTER (ಮಾಸಿಕ ಚಿಟ್ ನೋಂದಣ'!$F$5:$F$502,C416,'CHIT REGISTER (ಮಾಸಿಕ ಚಿಟ್ ನೋಂದಣ'!$G$5:$G$502,"UNPAID")-IF(F416="PAID",N(D416),0)))</f>
        <v/>
      </c>
      <c r="F416" s="3"/>
      <c r="G416" s="14"/>
      <c r="H416" s="1"/>
    </row>
    <row r="417" spans="1:8">
      <c r="A417" s="2"/>
      <c r="B417" s="12"/>
      <c r="C417" s="2"/>
      <c r="D417" s="13"/>
      <c r="E417" s="8" t="str">
        <f>IF(C417="","",MAX(0,SUMIFS('CHIT REGISTER (ಮಾಸಿಕ ಚಿಟ್ ನೋಂದಣ'!$D$5:$D$502,'CHIT REGISTER (ಮಾಸಿಕ ಚಿಟ್ ನೋಂದಣ'!$F$5:$F$502,C417,'CHIT REGISTER (ಮಾಸಿಕ ಚಿಟ್ ನೋಂದಣ'!$G$5:$G$502,"UNPAID")-IF(F417="PAID",N(D417),0)))</f>
        <v/>
      </c>
      <c r="F417" s="4"/>
      <c r="G417" s="12"/>
      <c r="H417" s="2"/>
    </row>
    <row r="418" spans="1:8">
      <c r="A418" s="1"/>
      <c r="B418" s="14"/>
      <c r="C418" s="1"/>
      <c r="D418" s="15"/>
      <c r="E418" s="9" t="str">
        <f>IF(C418="","",MAX(0,SUMIFS('CHIT REGISTER (ಮಾಸಿಕ ಚಿಟ್ ನೋಂದಣ'!$D$5:$D$502,'CHIT REGISTER (ಮಾಸಿಕ ಚಿಟ್ ನೋಂದಣ'!$F$5:$F$502,C418,'CHIT REGISTER (ಮಾಸಿಕ ಚಿಟ್ ನೋಂದಣ'!$G$5:$G$502,"UNPAID")-IF(F418="PAID",N(D418),0)))</f>
        <v/>
      </c>
      <c r="F418" s="3"/>
      <c r="G418" s="14"/>
      <c r="H418" s="1"/>
    </row>
    <row r="419" spans="1:8">
      <c r="A419" s="2"/>
      <c r="B419" s="12"/>
      <c r="C419" s="2"/>
      <c r="D419" s="13"/>
      <c r="E419" s="8" t="str">
        <f>IF(C419="","",MAX(0,SUMIFS('CHIT REGISTER (ಮಾಸಿಕ ಚಿಟ್ ನೋಂದಣ'!$D$5:$D$502,'CHIT REGISTER (ಮಾಸಿಕ ಚಿಟ್ ನೋಂದಣ'!$F$5:$F$502,C419,'CHIT REGISTER (ಮಾಸಿಕ ಚಿಟ್ ನೋಂದಣ'!$G$5:$G$502,"UNPAID")-IF(F419="PAID",N(D419),0)))</f>
        <v/>
      </c>
      <c r="F419" s="4"/>
      <c r="G419" s="12"/>
      <c r="H419" s="2"/>
    </row>
    <row r="420" spans="1:8">
      <c r="A420" s="1"/>
      <c r="B420" s="14"/>
      <c r="C420" s="1"/>
      <c r="D420" s="15"/>
      <c r="E420" s="9" t="str">
        <f>IF(C420="","",MAX(0,SUMIFS('CHIT REGISTER (ಮಾಸಿಕ ಚಿಟ್ ನೋಂದಣ'!$D$5:$D$502,'CHIT REGISTER (ಮಾಸಿಕ ಚಿಟ್ ನೋಂದಣ'!$F$5:$F$502,C420,'CHIT REGISTER (ಮಾಸಿಕ ಚಿಟ್ ನೋಂದಣ'!$G$5:$G$502,"UNPAID")-IF(F420="PAID",N(D420),0)))</f>
        <v/>
      </c>
      <c r="F420" s="3"/>
      <c r="G420" s="14"/>
      <c r="H420" s="1"/>
    </row>
    <row r="421" spans="1:8">
      <c r="A421" s="2"/>
      <c r="B421" s="12"/>
      <c r="C421" s="2"/>
      <c r="D421" s="13"/>
      <c r="E421" s="8" t="str">
        <f>IF(C421="","",MAX(0,SUMIFS('CHIT REGISTER (ಮಾಸಿಕ ಚಿಟ್ ನೋಂದಣ'!$D$5:$D$502,'CHIT REGISTER (ಮಾಸಿಕ ಚಿಟ್ ನೋಂದಣ'!$F$5:$F$502,C421,'CHIT REGISTER (ಮಾಸಿಕ ಚಿಟ್ ನೋಂದಣ'!$G$5:$G$502,"UNPAID")-IF(F421="PAID",N(D421),0)))</f>
        <v/>
      </c>
      <c r="F421" s="4"/>
      <c r="G421" s="12"/>
      <c r="H421" s="2"/>
    </row>
    <row r="422" spans="1:8">
      <c r="A422" s="1"/>
      <c r="B422" s="14"/>
      <c r="C422" s="1"/>
      <c r="D422" s="15"/>
      <c r="E422" s="9" t="str">
        <f>IF(C422="","",MAX(0,SUMIFS('CHIT REGISTER (ಮಾಸಿಕ ಚಿಟ್ ನೋಂದಣ'!$D$5:$D$502,'CHIT REGISTER (ಮಾಸಿಕ ಚಿಟ್ ನೋಂದಣ'!$F$5:$F$502,C422,'CHIT REGISTER (ಮಾಸಿಕ ಚಿಟ್ ನೋಂದಣ'!$G$5:$G$502,"UNPAID")-IF(F422="PAID",N(D422),0)))</f>
        <v/>
      </c>
      <c r="F422" s="3"/>
      <c r="G422" s="14"/>
      <c r="H422" s="1"/>
    </row>
    <row r="423" spans="1:8">
      <c r="A423" s="2"/>
      <c r="B423" s="12"/>
      <c r="C423" s="2"/>
      <c r="D423" s="13"/>
      <c r="E423" s="8" t="str">
        <f>IF(C423="","",MAX(0,SUMIFS('CHIT REGISTER (ಮಾಸಿಕ ಚಿಟ್ ನೋಂದಣ'!$D$5:$D$502,'CHIT REGISTER (ಮಾಸಿಕ ಚಿಟ್ ನೋಂದಣ'!$F$5:$F$502,C423,'CHIT REGISTER (ಮಾಸಿಕ ಚಿಟ್ ನೋಂದಣ'!$G$5:$G$502,"UNPAID")-IF(F423="PAID",N(D423),0)))</f>
        <v/>
      </c>
      <c r="F423" s="4"/>
      <c r="G423" s="12"/>
      <c r="H423" s="2"/>
    </row>
    <row r="424" spans="1:8">
      <c r="A424" s="1"/>
      <c r="B424" s="14"/>
      <c r="C424" s="1"/>
      <c r="D424" s="15"/>
      <c r="E424" s="9" t="str">
        <f>IF(C424="","",MAX(0,SUMIFS('CHIT REGISTER (ಮಾಸಿಕ ಚಿಟ್ ನೋಂದಣ'!$D$5:$D$502,'CHIT REGISTER (ಮಾಸಿಕ ಚಿಟ್ ನೋಂದಣ'!$F$5:$F$502,C424,'CHIT REGISTER (ಮಾಸಿಕ ಚಿಟ್ ನೋಂದಣ'!$G$5:$G$502,"UNPAID")-IF(F424="PAID",N(D424),0)))</f>
        <v/>
      </c>
      <c r="F424" s="3"/>
      <c r="G424" s="14"/>
      <c r="H424" s="1"/>
    </row>
    <row r="425" spans="1:8">
      <c r="A425" s="2"/>
      <c r="B425" s="12"/>
      <c r="C425" s="2"/>
      <c r="D425" s="13"/>
      <c r="E425" s="8" t="str">
        <f>IF(C425="","",MAX(0,SUMIFS('CHIT REGISTER (ಮಾಸಿಕ ಚಿಟ್ ನೋಂದಣ'!$D$5:$D$502,'CHIT REGISTER (ಮಾಸಿಕ ಚಿಟ್ ನೋಂದಣ'!$F$5:$F$502,C425,'CHIT REGISTER (ಮಾಸಿಕ ಚಿಟ್ ನೋಂದಣ'!$G$5:$G$502,"UNPAID")-IF(F425="PAID",N(D425),0)))</f>
        <v/>
      </c>
      <c r="F425" s="4"/>
      <c r="G425" s="12"/>
      <c r="H425" s="2"/>
    </row>
    <row r="426" spans="1:8">
      <c r="A426" s="1"/>
      <c r="B426" s="14"/>
      <c r="C426" s="1"/>
      <c r="D426" s="15"/>
      <c r="E426" s="9" t="str">
        <f>IF(C426="","",MAX(0,SUMIFS('CHIT REGISTER (ಮಾಸಿಕ ಚಿಟ್ ನೋಂದಣ'!$D$5:$D$502,'CHIT REGISTER (ಮಾಸಿಕ ಚಿಟ್ ನೋಂದಣ'!$F$5:$F$502,C426,'CHIT REGISTER (ಮಾಸಿಕ ಚಿಟ್ ನೋಂದಣ'!$G$5:$G$502,"UNPAID")-IF(F426="PAID",N(D426),0)))</f>
        <v/>
      </c>
      <c r="F426" s="3"/>
      <c r="G426" s="14"/>
      <c r="H426" s="1"/>
    </row>
    <row r="427" spans="1:8">
      <c r="A427" s="2"/>
      <c r="B427" s="12"/>
      <c r="C427" s="2"/>
      <c r="D427" s="13"/>
      <c r="E427" s="8" t="str">
        <f>IF(C427="","",MAX(0,SUMIFS('CHIT REGISTER (ಮಾಸಿಕ ಚಿಟ್ ನೋಂದಣ'!$D$5:$D$502,'CHIT REGISTER (ಮಾಸಿಕ ಚಿಟ್ ನೋಂದಣ'!$F$5:$F$502,C427,'CHIT REGISTER (ಮಾಸಿಕ ಚಿಟ್ ನೋಂದಣ'!$G$5:$G$502,"UNPAID")-IF(F427="PAID",N(D427),0)))</f>
        <v/>
      </c>
      <c r="F427" s="4"/>
      <c r="G427" s="12"/>
      <c r="H427" s="2"/>
    </row>
    <row r="428" spans="1:8">
      <c r="A428" s="1"/>
      <c r="B428" s="14"/>
      <c r="C428" s="1"/>
      <c r="D428" s="15"/>
      <c r="E428" s="9" t="str">
        <f>IF(C428="","",MAX(0,SUMIFS('CHIT REGISTER (ಮಾಸಿಕ ಚಿಟ್ ನೋಂದಣ'!$D$5:$D$502,'CHIT REGISTER (ಮಾಸಿಕ ಚಿಟ್ ನೋಂದಣ'!$F$5:$F$502,C428,'CHIT REGISTER (ಮಾಸಿಕ ಚಿಟ್ ನೋಂದಣ'!$G$5:$G$502,"UNPAID")-IF(F428="PAID",N(D428),0)))</f>
        <v/>
      </c>
      <c r="F428" s="3"/>
      <c r="G428" s="14"/>
      <c r="H428" s="1"/>
    </row>
    <row r="429" spans="1:8">
      <c r="A429" s="2"/>
      <c r="B429" s="12"/>
      <c r="C429" s="2"/>
      <c r="D429" s="13"/>
      <c r="E429" s="8" t="str">
        <f>IF(C429="","",MAX(0,SUMIFS('CHIT REGISTER (ಮಾಸಿಕ ಚಿಟ್ ನೋಂದಣ'!$D$5:$D$502,'CHIT REGISTER (ಮಾಸಿಕ ಚಿಟ್ ನೋಂದಣ'!$F$5:$F$502,C429,'CHIT REGISTER (ಮಾಸಿಕ ಚಿಟ್ ನೋಂದಣ'!$G$5:$G$502,"UNPAID")-IF(F429="PAID",N(D429),0)))</f>
        <v/>
      </c>
      <c r="F429" s="4"/>
      <c r="G429" s="12"/>
      <c r="H429" s="2"/>
    </row>
    <row r="430" spans="1:8">
      <c r="A430" s="1"/>
      <c r="B430" s="14"/>
      <c r="C430" s="1"/>
      <c r="D430" s="15"/>
      <c r="E430" s="9" t="str">
        <f>IF(C430="","",MAX(0,SUMIFS('CHIT REGISTER (ಮಾಸಿಕ ಚಿಟ್ ನೋಂದಣ'!$D$5:$D$502,'CHIT REGISTER (ಮಾಸಿಕ ಚಿಟ್ ನೋಂದಣ'!$F$5:$F$502,C430,'CHIT REGISTER (ಮಾಸಿಕ ಚಿಟ್ ನೋಂದಣ'!$G$5:$G$502,"UNPAID")-IF(F430="PAID",N(D430),0)))</f>
        <v/>
      </c>
      <c r="F430" s="3"/>
      <c r="G430" s="14"/>
      <c r="H430" s="1"/>
    </row>
    <row r="431" spans="1:8">
      <c r="A431" s="2"/>
      <c r="B431" s="12"/>
      <c r="C431" s="2"/>
      <c r="D431" s="13"/>
      <c r="E431" s="8" t="str">
        <f>IF(C431="","",MAX(0,SUMIFS('CHIT REGISTER (ಮಾಸಿಕ ಚಿಟ್ ನೋಂದಣ'!$D$5:$D$502,'CHIT REGISTER (ಮಾಸಿಕ ಚಿಟ್ ನೋಂದಣ'!$F$5:$F$502,C431,'CHIT REGISTER (ಮಾಸಿಕ ಚಿಟ್ ನೋಂದಣ'!$G$5:$G$502,"UNPAID")-IF(F431="PAID",N(D431),0)))</f>
        <v/>
      </c>
      <c r="F431" s="4"/>
      <c r="G431" s="12"/>
      <c r="H431" s="2"/>
    </row>
    <row r="432" spans="1:8">
      <c r="A432" s="1"/>
      <c r="B432" s="14"/>
      <c r="C432" s="1"/>
      <c r="D432" s="15"/>
      <c r="E432" s="9" t="str">
        <f>IF(C432="","",MAX(0,SUMIFS('CHIT REGISTER (ಮಾಸಿಕ ಚಿಟ್ ನೋಂದಣ'!$D$5:$D$502,'CHIT REGISTER (ಮಾಸಿಕ ಚಿಟ್ ನೋಂದಣ'!$F$5:$F$502,C432,'CHIT REGISTER (ಮಾಸಿಕ ಚಿಟ್ ನೋಂದಣ'!$G$5:$G$502,"UNPAID")-IF(F432="PAID",N(D432),0)))</f>
        <v/>
      </c>
      <c r="F432" s="3"/>
      <c r="G432" s="14"/>
      <c r="H432" s="1"/>
    </row>
    <row r="433" spans="1:8">
      <c r="A433" s="2"/>
      <c r="B433" s="12"/>
      <c r="C433" s="2"/>
      <c r="D433" s="13"/>
      <c r="E433" s="8" t="str">
        <f>IF(C433="","",MAX(0,SUMIFS('CHIT REGISTER (ಮಾಸಿಕ ಚಿಟ್ ನೋಂದಣ'!$D$5:$D$502,'CHIT REGISTER (ಮಾಸಿಕ ಚಿಟ್ ನೋಂದಣ'!$F$5:$F$502,C433,'CHIT REGISTER (ಮಾಸಿಕ ಚಿಟ್ ನೋಂದಣ'!$G$5:$G$502,"UNPAID")-IF(F433="PAID",N(D433),0)))</f>
        <v/>
      </c>
      <c r="F433" s="4"/>
      <c r="G433" s="12"/>
      <c r="H433" s="2"/>
    </row>
    <row r="434" spans="1:8">
      <c r="A434" s="1"/>
      <c r="B434" s="14"/>
      <c r="C434" s="1"/>
      <c r="D434" s="15"/>
      <c r="E434" s="9" t="str">
        <f>IF(C434="","",MAX(0,SUMIFS('CHIT REGISTER (ಮಾಸಿಕ ಚಿಟ್ ನೋಂದಣ'!$D$5:$D$502,'CHIT REGISTER (ಮಾಸಿಕ ಚಿಟ್ ನೋಂದಣ'!$F$5:$F$502,C434,'CHIT REGISTER (ಮಾಸಿಕ ಚಿಟ್ ನೋಂದಣ'!$G$5:$G$502,"UNPAID")-IF(F434="PAID",N(D434),0)))</f>
        <v/>
      </c>
      <c r="F434" s="3"/>
      <c r="G434" s="14"/>
      <c r="H434" s="1"/>
    </row>
    <row r="435" spans="1:8">
      <c r="A435" s="2"/>
      <c r="B435" s="12"/>
      <c r="C435" s="2"/>
      <c r="D435" s="13"/>
      <c r="E435" s="8" t="str">
        <f>IF(C435="","",MAX(0,SUMIFS('CHIT REGISTER (ಮಾಸಿಕ ಚಿಟ್ ನೋಂದಣ'!$D$5:$D$502,'CHIT REGISTER (ಮಾಸಿಕ ಚಿಟ್ ನೋಂದಣ'!$F$5:$F$502,C435,'CHIT REGISTER (ಮಾಸಿಕ ಚಿಟ್ ನೋಂದಣ'!$G$5:$G$502,"UNPAID")-IF(F435="PAID",N(D435),0)))</f>
        <v/>
      </c>
      <c r="F435" s="4"/>
      <c r="G435" s="12"/>
      <c r="H435" s="2"/>
    </row>
    <row r="436" spans="1:8">
      <c r="A436" s="1"/>
      <c r="B436" s="14"/>
      <c r="C436" s="1"/>
      <c r="D436" s="15"/>
      <c r="E436" s="9" t="str">
        <f>IF(C436="","",MAX(0,SUMIFS('CHIT REGISTER (ಮಾಸಿಕ ಚಿಟ್ ನೋಂದಣ'!$D$5:$D$502,'CHIT REGISTER (ಮಾಸಿಕ ಚಿಟ್ ನೋಂದಣ'!$F$5:$F$502,C436,'CHIT REGISTER (ಮಾಸಿಕ ಚಿಟ್ ನೋಂದಣ'!$G$5:$G$502,"UNPAID")-IF(F436="PAID",N(D436),0)))</f>
        <v/>
      </c>
      <c r="F436" s="3"/>
      <c r="G436" s="14"/>
      <c r="H436" s="1"/>
    </row>
    <row r="437" spans="1:8">
      <c r="A437" s="2"/>
      <c r="B437" s="12"/>
      <c r="C437" s="2"/>
      <c r="D437" s="13"/>
      <c r="E437" s="8" t="str">
        <f>IF(C437="","",MAX(0,SUMIFS('CHIT REGISTER (ಮಾಸಿಕ ಚಿಟ್ ನೋಂದಣ'!$D$5:$D$502,'CHIT REGISTER (ಮಾಸಿಕ ಚಿಟ್ ನೋಂದಣ'!$F$5:$F$502,C437,'CHIT REGISTER (ಮಾಸಿಕ ಚಿಟ್ ನೋಂದಣ'!$G$5:$G$502,"UNPAID")-IF(F437="PAID",N(D437),0)))</f>
        <v/>
      </c>
      <c r="F437" s="4"/>
      <c r="G437" s="12"/>
      <c r="H437" s="2"/>
    </row>
    <row r="438" spans="1:8">
      <c r="A438" s="1"/>
      <c r="B438" s="14"/>
      <c r="C438" s="1"/>
      <c r="D438" s="15"/>
      <c r="E438" s="9" t="str">
        <f>IF(C438="","",MAX(0,SUMIFS('CHIT REGISTER (ಮಾಸಿಕ ಚಿಟ್ ನೋಂದಣ'!$D$5:$D$502,'CHIT REGISTER (ಮಾಸಿಕ ಚಿಟ್ ನೋಂದಣ'!$F$5:$F$502,C438,'CHIT REGISTER (ಮಾಸಿಕ ಚಿಟ್ ನೋಂದಣ'!$G$5:$G$502,"UNPAID")-IF(F438="PAID",N(D438),0)))</f>
        <v/>
      </c>
      <c r="F438" s="3"/>
      <c r="G438" s="14"/>
      <c r="H438" s="1"/>
    </row>
    <row r="439" spans="1:8">
      <c r="A439" s="2"/>
      <c r="B439" s="12"/>
      <c r="C439" s="2"/>
      <c r="D439" s="13"/>
      <c r="E439" s="8" t="str">
        <f>IF(C439="","",MAX(0,SUMIFS('CHIT REGISTER (ಮಾಸಿಕ ಚಿಟ್ ನೋಂದಣ'!$D$5:$D$502,'CHIT REGISTER (ಮಾಸಿಕ ಚಿಟ್ ನೋಂದಣ'!$F$5:$F$502,C439,'CHIT REGISTER (ಮಾಸಿಕ ಚಿಟ್ ನೋಂದಣ'!$G$5:$G$502,"UNPAID")-IF(F439="PAID",N(D439),0)))</f>
        <v/>
      </c>
      <c r="F439" s="4"/>
      <c r="G439" s="12"/>
      <c r="H439" s="2"/>
    </row>
    <row r="440" spans="1:8">
      <c r="A440" s="1"/>
      <c r="B440" s="14"/>
      <c r="C440" s="1"/>
      <c r="D440" s="15"/>
      <c r="E440" s="9" t="str">
        <f>IF(C440="","",MAX(0,SUMIFS('CHIT REGISTER (ಮಾಸಿಕ ಚಿಟ್ ನೋಂದಣ'!$D$5:$D$502,'CHIT REGISTER (ಮಾಸಿಕ ಚಿಟ್ ನೋಂದಣ'!$F$5:$F$502,C440,'CHIT REGISTER (ಮಾಸಿಕ ಚಿಟ್ ನೋಂದಣ'!$G$5:$G$502,"UNPAID")-IF(F440="PAID",N(D440),0)))</f>
        <v/>
      </c>
      <c r="F440" s="3"/>
      <c r="G440" s="14"/>
      <c r="H440" s="1"/>
    </row>
    <row r="441" spans="1:8">
      <c r="A441" s="2"/>
      <c r="B441" s="12"/>
      <c r="C441" s="2"/>
      <c r="D441" s="13"/>
      <c r="E441" s="8" t="str">
        <f>IF(C441="","",MAX(0,SUMIFS('CHIT REGISTER (ಮಾಸಿಕ ಚಿಟ್ ನೋಂದಣ'!$D$5:$D$502,'CHIT REGISTER (ಮಾಸಿಕ ಚಿಟ್ ನೋಂದಣ'!$F$5:$F$502,C441,'CHIT REGISTER (ಮಾಸಿಕ ಚಿಟ್ ನೋಂದಣ'!$G$5:$G$502,"UNPAID")-IF(F441="PAID",N(D441),0)))</f>
        <v/>
      </c>
      <c r="F441" s="4"/>
      <c r="G441" s="12"/>
      <c r="H441" s="2"/>
    </row>
    <row r="442" spans="1:8">
      <c r="A442" s="1"/>
      <c r="B442" s="14"/>
      <c r="C442" s="1"/>
      <c r="D442" s="15"/>
      <c r="E442" s="9" t="str">
        <f>IF(C442="","",MAX(0,SUMIFS('CHIT REGISTER (ಮಾಸಿಕ ಚಿಟ್ ನೋಂದಣ'!$D$5:$D$502,'CHIT REGISTER (ಮಾಸಿಕ ಚಿಟ್ ನೋಂದಣ'!$F$5:$F$502,C442,'CHIT REGISTER (ಮಾಸಿಕ ಚಿಟ್ ನೋಂದಣ'!$G$5:$G$502,"UNPAID")-IF(F442="PAID",N(D442),0)))</f>
        <v/>
      </c>
      <c r="F442" s="3"/>
      <c r="G442" s="14"/>
      <c r="H442" s="1"/>
    </row>
    <row r="443" spans="1:8">
      <c r="A443" s="2"/>
      <c r="B443" s="12"/>
      <c r="C443" s="2"/>
      <c r="D443" s="13"/>
      <c r="E443" s="8" t="str">
        <f>IF(C443="","",MAX(0,SUMIFS('CHIT REGISTER (ಮಾಸಿಕ ಚಿಟ್ ನೋಂದಣ'!$D$5:$D$502,'CHIT REGISTER (ಮಾಸಿಕ ಚಿಟ್ ನೋಂದಣ'!$F$5:$F$502,C443,'CHIT REGISTER (ಮಾಸಿಕ ಚಿಟ್ ನೋಂದಣ'!$G$5:$G$502,"UNPAID")-IF(F443="PAID",N(D443),0)))</f>
        <v/>
      </c>
      <c r="F443" s="4"/>
      <c r="G443" s="12"/>
      <c r="H443" s="2"/>
    </row>
    <row r="444" spans="1:8">
      <c r="A444" s="1"/>
      <c r="B444" s="14"/>
      <c r="C444" s="1"/>
      <c r="D444" s="15"/>
      <c r="E444" s="9" t="str">
        <f>IF(C444="","",MAX(0,SUMIFS('CHIT REGISTER (ಮಾಸಿಕ ಚಿಟ್ ನೋಂದಣ'!$D$5:$D$502,'CHIT REGISTER (ಮಾಸಿಕ ಚಿಟ್ ನೋಂದಣ'!$F$5:$F$502,C444,'CHIT REGISTER (ಮಾಸಿಕ ಚಿಟ್ ನೋಂದಣ'!$G$5:$G$502,"UNPAID")-IF(F444="PAID",N(D444),0)))</f>
        <v/>
      </c>
      <c r="F444" s="3"/>
      <c r="G444" s="14"/>
      <c r="H444" s="1"/>
    </row>
    <row r="445" spans="1:8">
      <c r="A445" s="2"/>
      <c r="B445" s="12"/>
      <c r="C445" s="2"/>
      <c r="D445" s="13"/>
      <c r="E445" s="8" t="str">
        <f>IF(C445="","",MAX(0,SUMIFS('CHIT REGISTER (ಮಾಸಿಕ ಚಿಟ್ ನೋಂದಣ'!$D$5:$D$502,'CHIT REGISTER (ಮಾಸಿಕ ಚಿಟ್ ನೋಂದಣ'!$F$5:$F$502,C445,'CHIT REGISTER (ಮಾಸಿಕ ಚಿಟ್ ನೋಂದಣ'!$G$5:$G$502,"UNPAID")-IF(F445="PAID",N(D445),0)))</f>
        <v/>
      </c>
      <c r="F445" s="4"/>
      <c r="G445" s="12"/>
      <c r="H445" s="2"/>
    </row>
    <row r="446" spans="1:8">
      <c r="A446" s="1"/>
      <c r="B446" s="14"/>
      <c r="C446" s="1"/>
      <c r="D446" s="15"/>
      <c r="E446" s="9" t="str">
        <f>IF(C446="","",MAX(0,SUMIFS('CHIT REGISTER (ಮಾಸಿಕ ಚಿಟ್ ನೋಂದಣ'!$D$5:$D$502,'CHIT REGISTER (ಮಾಸಿಕ ಚಿಟ್ ನೋಂದಣ'!$F$5:$F$502,C446,'CHIT REGISTER (ಮಾಸಿಕ ಚಿಟ್ ನೋಂದಣ'!$G$5:$G$502,"UNPAID")-IF(F446="PAID",N(D446),0)))</f>
        <v/>
      </c>
      <c r="F446" s="3"/>
      <c r="G446" s="14"/>
      <c r="H446" s="1"/>
    </row>
    <row r="447" spans="1:8">
      <c r="A447" s="2"/>
      <c r="B447" s="12"/>
      <c r="C447" s="2"/>
      <c r="D447" s="13"/>
      <c r="E447" s="8" t="str">
        <f>IF(C447="","",MAX(0,SUMIFS('CHIT REGISTER (ಮಾಸಿಕ ಚಿಟ್ ನೋಂದಣ'!$D$5:$D$502,'CHIT REGISTER (ಮಾಸಿಕ ಚಿಟ್ ನೋಂದಣ'!$F$5:$F$502,C447,'CHIT REGISTER (ಮಾಸಿಕ ಚಿಟ್ ನೋಂದಣ'!$G$5:$G$502,"UNPAID")-IF(F447="PAID",N(D447),0)))</f>
        <v/>
      </c>
      <c r="F447" s="4"/>
      <c r="G447" s="12"/>
      <c r="H447" s="2"/>
    </row>
    <row r="448" spans="1:8">
      <c r="A448" s="1"/>
      <c r="B448" s="14"/>
      <c r="C448" s="1"/>
      <c r="D448" s="15"/>
      <c r="E448" s="9" t="str">
        <f>IF(C448="","",MAX(0,SUMIFS('CHIT REGISTER (ಮಾಸಿಕ ಚಿಟ್ ನೋಂದಣ'!$D$5:$D$502,'CHIT REGISTER (ಮಾಸಿಕ ಚಿಟ್ ನೋಂದಣ'!$F$5:$F$502,C448,'CHIT REGISTER (ಮಾಸಿಕ ಚಿಟ್ ನೋಂದಣ'!$G$5:$G$502,"UNPAID")-IF(F448="PAID",N(D448),0)))</f>
        <v/>
      </c>
      <c r="F448" s="3"/>
      <c r="G448" s="14"/>
      <c r="H448" s="1"/>
    </row>
    <row r="449" spans="1:8">
      <c r="A449" s="2"/>
      <c r="B449" s="12"/>
      <c r="C449" s="2"/>
      <c r="D449" s="13"/>
      <c r="E449" s="8" t="str">
        <f>IF(C449="","",MAX(0,SUMIFS('CHIT REGISTER (ಮಾಸಿಕ ಚಿಟ್ ನೋಂದಣ'!$D$5:$D$502,'CHIT REGISTER (ಮಾಸಿಕ ಚಿಟ್ ನೋಂದಣ'!$F$5:$F$502,C449,'CHIT REGISTER (ಮಾಸಿಕ ಚಿಟ್ ನೋಂದಣ'!$G$5:$G$502,"UNPAID")-IF(F449="PAID",N(D449),0)))</f>
        <v/>
      </c>
      <c r="F449" s="4"/>
      <c r="G449" s="12"/>
      <c r="H449" s="2"/>
    </row>
    <row r="450" spans="1:8">
      <c r="A450" s="1"/>
      <c r="B450" s="14"/>
      <c r="C450" s="1"/>
      <c r="D450" s="15"/>
      <c r="E450" s="9" t="str">
        <f>IF(C450="","",MAX(0,SUMIFS('CHIT REGISTER (ಮಾಸಿಕ ಚಿಟ್ ನೋಂದಣ'!$D$5:$D$502,'CHIT REGISTER (ಮಾಸಿಕ ಚಿಟ್ ನೋಂದಣ'!$F$5:$F$502,C450,'CHIT REGISTER (ಮಾಸಿಕ ಚಿಟ್ ನೋಂದಣ'!$G$5:$G$502,"UNPAID")-IF(F450="PAID",N(D450),0)))</f>
        <v/>
      </c>
      <c r="F450" s="3"/>
      <c r="G450" s="14"/>
      <c r="H450" s="1"/>
    </row>
    <row r="451" spans="1:8">
      <c r="A451" s="2"/>
      <c r="B451" s="12"/>
      <c r="C451" s="2"/>
      <c r="D451" s="13"/>
      <c r="E451" s="8" t="str">
        <f>IF(C451="","",MAX(0,SUMIFS('CHIT REGISTER (ಮಾಸಿಕ ಚಿಟ್ ನೋಂದಣ'!$D$5:$D$502,'CHIT REGISTER (ಮಾಸಿಕ ಚಿಟ್ ನೋಂದಣ'!$F$5:$F$502,C451,'CHIT REGISTER (ಮಾಸಿಕ ಚಿಟ್ ನೋಂದಣ'!$G$5:$G$502,"UNPAID")-IF(F451="PAID",N(D451),0)))</f>
        <v/>
      </c>
      <c r="F451" s="4"/>
      <c r="G451" s="12"/>
      <c r="H451" s="2"/>
    </row>
    <row r="452" spans="1:8">
      <c r="A452" s="1"/>
      <c r="B452" s="14"/>
      <c r="C452" s="1"/>
      <c r="D452" s="15"/>
      <c r="E452" s="9" t="str">
        <f>IF(C452="","",MAX(0,SUMIFS('CHIT REGISTER (ಮಾಸಿಕ ಚಿಟ್ ನೋಂದಣ'!$D$5:$D$502,'CHIT REGISTER (ಮಾಸಿಕ ಚಿಟ್ ನೋಂದಣ'!$F$5:$F$502,C452,'CHIT REGISTER (ಮಾಸಿಕ ಚಿಟ್ ನೋಂದಣ'!$G$5:$G$502,"UNPAID")-IF(F452="PAID",N(D452),0)))</f>
        <v/>
      </c>
      <c r="F452" s="3"/>
      <c r="G452" s="14"/>
      <c r="H452" s="1"/>
    </row>
    <row r="453" spans="1:8">
      <c r="A453" s="2"/>
      <c r="B453" s="12"/>
      <c r="C453" s="2"/>
      <c r="D453" s="13"/>
      <c r="E453" s="8" t="str">
        <f>IF(C453="","",MAX(0,SUMIFS('CHIT REGISTER (ಮಾಸಿಕ ಚಿಟ್ ನೋಂದಣ'!$D$5:$D$502,'CHIT REGISTER (ಮಾಸಿಕ ಚಿಟ್ ನೋಂದಣ'!$F$5:$F$502,C453,'CHIT REGISTER (ಮಾಸಿಕ ಚಿಟ್ ನೋಂದಣ'!$G$5:$G$502,"UNPAID")-IF(F453="PAID",N(D453),0)))</f>
        <v/>
      </c>
      <c r="F453" s="4"/>
      <c r="G453" s="12"/>
      <c r="H453" s="2"/>
    </row>
    <row r="454" spans="1:8">
      <c r="A454" s="1"/>
      <c r="B454" s="14"/>
      <c r="C454" s="1"/>
      <c r="D454" s="15"/>
      <c r="E454" s="9" t="str">
        <f>IF(C454="","",MAX(0,SUMIFS('CHIT REGISTER (ಮಾಸಿಕ ಚಿಟ್ ನೋಂದಣ'!$D$5:$D$502,'CHIT REGISTER (ಮಾಸಿಕ ಚಿಟ್ ನೋಂದಣ'!$F$5:$F$502,C454,'CHIT REGISTER (ಮಾಸಿಕ ಚಿಟ್ ನೋಂದಣ'!$G$5:$G$502,"UNPAID")-IF(F454="PAID",N(D454),0)))</f>
        <v/>
      </c>
      <c r="F454" s="3"/>
      <c r="G454" s="14"/>
      <c r="H454" s="1"/>
    </row>
    <row r="455" spans="1:8">
      <c r="A455" s="2"/>
      <c r="B455" s="12"/>
      <c r="C455" s="2"/>
      <c r="D455" s="13"/>
      <c r="E455" s="8" t="str">
        <f>IF(C455="","",MAX(0,SUMIFS('CHIT REGISTER (ಮಾಸಿಕ ಚಿಟ್ ನೋಂದಣ'!$D$5:$D$502,'CHIT REGISTER (ಮಾಸಿಕ ಚಿಟ್ ನೋಂದಣ'!$F$5:$F$502,C455,'CHIT REGISTER (ಮಾಸಿಕ ಚಿಟ್ ನೋಂದಣ'!$G$5:$G$502,"UNPAID")-IF(F455="PAID",N(D455),0)))</f>
        <v/>
      </c>
      <c r="F455" s="4"/>
      <c r="G455" s="12"/>
      <c r="H455" s="2"/>
    </row>
    <row r="456" spans="1:8">
      <c r="A456" s="1"/>
      <c r="B456" s="14"/>
      <c r="C456" s="1"/>
      <c r="D456" s="15"/>
      <c r="E456" s="9" t="str">
        <f>IF(C456="","",MAX(0,SUMIFS('CHIT REGISTER (ಮಾಸಿಕ ಚಿಟ್ ನೋಂದಣ'!$D$5:$D$502,'CHIT REGISTER (ಮಾಸಿಕ ಚಿಟ್ ನೋಂದಣ'!$F$5:$F$502,C456,'CHIT REGISTER (ಮಾಸಿಕ ಚಿಟ್ ನೋಂದಣ'!$G$5:$G$502,"UNPAID")-IF(F456="PAID",N(D456),0)))</f>
        <v/>
      </c>
      <c r="F456" s="3"/>
      <c r="G456" s="14"/>
      <c r="H456" s="1"/>
    </row>
    <row r="457" spans="1:8">
      <c r="A457" s="2"/>
      <c r="B457" s="12"/>
      <c r="C457" s="2"/>
      <c r="D457" s="13"/>
      <c r="E457" s="8" t="str">
        <f>IF(C457="","",MAX(0,SUMIFS('CHIT REGISTER (ಮಾಸಿಕ ಚಿಟ್ ನೋಂದಣ'!$D$5:$D$502,'CHIT REGISTER (ಮಾಸಿಕ ಚಿಟ್ ನೋಂದಣ'!$F$5:$F$502,C457,'CHIT REGISTER (ಮಾಸಿಕ ಚಿಟ್ ನೋಂದಣ'!$G$5:$G$502,"UNPAID")-IF(F457="PAID",N(D457),0)))</f>
        <v/>
      </c>
      <c r="F457" s="4"/>
      <c r="G457" s="12"/>
      <c r="H457" s="2"/>
    </row>
    <row r="458" spans="1:8">
      <c r="A458" s="1"/>
      <c r="B458" s="14"/>
      <c r="C458" s="1"/>
      <c r="D458" s="15"/>
      <c r="E458" s="9" t="str">
        <f>IF(C458="","",MAX(0,SUMIFS('CHIT REGISTER (ಮಾಸಿಕ ಚಿಟ್ ನೋಂದಣ'!$D$5:$D$502,'CHIT REGISTER (ಮಾಸಿಕ ಚಿಟ್ ನೋಂದಣ'!$F$5:$F$502,C458,'CHIT REGISTER (ಮಾಸಿಕ ಚಿಟ್ ನೋಂದಣ'!$G$5:$G$502,"UNPAID")-IF(F458="PAID",N(D458),0)))</f>
        <v/>
      </c>
      <c r="F458" s="3"/>
      <c r="G458" s="14"/>
      <c r="H458" s="1"/>
    </row>
    <row r="459" spans="1:8">
      <c r="A459" s="2"/>
      <c r="B459" s="12"/>
      <c r="C459" s="2"/>
      <c r="D459" s="13"/>
      <c r="E459" s="8" t="str">
        <f>IF(C459="","",MAX(0,SUMIFS('CHIT REGISTER (ಮಾಸಿಕ ಚಿಟ್ ನೋಂದಣ'!$D$5:$D$502,'CHIT REGISTER (ಮಾಸಿಕ ಚಿಟ್ ನೋಂದಣ'!$F$5:$F$502,C459,'CHIT REGISTER (ಮಾಸಿಕ ಚಿಟ್ ನೋಂದಣ'!$G$5:$G$502,"UNPAID")-IF(F459="PAID",N(D459),0)))</f>
        <v/>
      </c>
      <c r="F459" s="4"/>
      <c r="G459" s="12"/>
      <c r="H459" s="2"/>
    </row>
    <row r="460" spans="1:8">
      <c r="A460" s="1"/>
      <c r="B460" s="14"/>
      <c r="C460" s="1"/>
      <c r="D460" s="15"/>
      <c r="E460" s="9" t="str">
        <f>IF(C460="","",MAX(0,SUMIFS('CHIT REGISTER (ಮಾಸಿಕ ಚಿಟ್ ನೋಂದಣ'!$D$5:$D$502,'CHIT REGISTER (ಮಾಸಿಕ ಚಿಟ್ ನೋಂದಣ'!$F$5:$F$502,C460,'CHIT REGISTER (ಮಾಸಿಕ ಚಿಟ್ ನೋಂದಣ'!$G$5:$G$502,"UNPAID")-IF(F460="PAID",N(D460),0)))</f>
        <v/>
      </c>
      <c r="F460" s="3"/>
      <c r="G460" s="14"/>
      <c r="H460" s="1"/>
    </row>
    <row r="461" spans="1:8">
      <c r="A461" s="2"/>
      <c r="B461" s="12"/>
      <c r="C461" s="2"/>
      <c r="D461" s="13"/>
      <c r="E461" s="8" t="str">
        <f>IF(C461="","",MAX(0,SUMIFS('CHIT REGISTER (ಮಾಸಿಕ ಚಿಟ್ ನೋಂದಣ'!$D$5:$D$502,'CHIT REGISTER (ಮಾಸಿಕ ಚಿಟ್ ನೋಂದಣ'!$F$5:$F$502,C461,'CHIT REGISTER (ಮಾಸಿಕ ಚಿಟ್ ನೋಂದಣ'!$G$5:$G$502,"UNPAID")-IF(F461="PAID",N(D461),0)))</f>
        <v/>
      </c>
      <c r="F461" s="4"/>
      <c r="G461" s="12"/>
      <c r="H461" s="2"/>
    </row>
    <row r="462" spans="1:8">
      <c r="A462" s="1"/>
      <c r="B462" s="14"/>
      <c r="C462" s="1"/>
      <c r="D462" s="15"/>
      <c r="E462" s="9" t="str">
        <f>IF(C462="","",MAX(0,SUMIFS('CHIT REGISTER (ಮಾಸಿಕ ಚಿಟ್ ನೋಂದಣ'!$D$5:$D$502,'CHIT REGISTER (ಮಾಸಿಕ ಚಿಟ್ ನೋಂದಣ'!$F$5:$F$502,C462,'CHIT REGISTER (ಮಾಸಿಕ ಚಿಟ್ ನೋಂದಣ'!$G$5:$G$502,"UNPAID")-IF(F462="PAID",N(D462),0)))</f>
        <v/>
      </c>
      <c r="F462" s="3"/>
      <c r="G462" s="14"/>
      <c r="H462" s="1"/>
    </row>
    <row r="463" spans="1:8">
      <c r="A463" s="2"/>
      <c r="B463" s="12"/>
      <c r="C463" s="2"/>
      <c r="D463" s="13"/>
      <c r="E463" s="8" t="str">
        <f>IF(C463="","",MAX(0,SUMIFS('CHIT REGISTER (ಮಾಸಿಕ ಚಿಟ್ ನೋಂದಣ'!$D$5:$D$502,'CHIT REGISTER (ಮಾಸಿಕ ಚಿಟ್ ನೋಂದಣ'!$F$5:$F$502,C463,'CHIT REGISTER (ಮಾಸಿಕ ಚಿಟ್ ನೋಂದಣ'!$G$5:$G$502,"UNPAID")-IF(F463="PAID",N(D463),0)))</f>
        <v/>
      </c>
      <c r="F463" s="4"/>
      <c r="G463" s="12"/>
      <c r="H463" s="2"/>
    </row>
    <row r="464" spans="1:8">
      <c r="A464" s="1"/>
      <c r="B464" s="14"/>
      <c r="C464" s="1"/>
      <c r="D464" s="15"/>
      <c r="E464" s="9" t="str">
        <f>IF(C464="","",MAX(0,SUMIFS('CHIT REGISTER (ಮಾಸಿಕ ಚಿಟ್ ನೋಂದಣ'!$D$5:$D$502,'CHIT REGISTER (ಮಾಸಿಕ ಚಿಟ್ ನೋಂದಣ'!$F$5:$F$502,C464,'CHIT REGISTER (ಮಾಸಿಕ ಚಿಟ್ ನೋಂದಣ'!$G$5:$G$502,"UNPAID")-IF(F464="PAID",N(D464),0)))</f>
        <v/>
      </c>
      <c r="F464" s="3"/>
      <c r="G464" s="14"/>
      <c r="H464" s="1"/>
    </row>
    <row r="465" spans="1:8">
      <c r="A465" s="2"/>
      <c r="B465" s="12"/>
      <c r="C465" s="2"/>
      <c r="D465" s="13"/>
      <c r="E465" s="8" t="str">
        <f>IF(C465="","",MAX(0,SUMIFS('CHIT REGISTER (ಮಾಸಿಕ ಚಿಟ್ ನೋಂದಣ'!$D$5:$D$502,'CHIT REGISTER (ಮಾಸಿಕ ಚಿಟ್ ನೋಂದಣ'!$F$5:$F$502,C465,'CHIT REGISTER (ಮಾಸಿಕ ಚಿಟ್ ನೋಂದಣ'!$G$5:$G$502,"UNPAID")-IF(F465="PAID",N(D465),0)))</f>
        <v/>
      </c>
      <c r="F465" s="4"/>
      <c r="G465" s="12"/>
      <c r="H465" s="2"/>
    </row>
    <row r="466" spans="1:8">
      <c r="A466" s="1"/>
      <c r="B466" s="14"/>
      <c r="C466" s="1"/>
      <c r="D466" s="15"/>
      <c r="E466" s="9" t="str">
        <f>IF(C466="","",MAX(0,SUMIFS('CHIT REGISTER (ಮಾಸಿಕ ಚಿಟ್ ನೋಂದಣ'!$D$5:$D$502,'CHIT REGISTER (ಮಾಸಿಕ ಚಿಟ್ ನೋಂದಣ'!$F$5:$F$502,C466,'CHIT REGISTER (ಮಾಸಿಕ ಚಿಟ್ ನೋಂದಣ'!$G$5:$G$502,"UNPAID")-IF(F466="PAID",N(D466),0)))</f>
        <v/>
      </c>
      <c r="F466" s="3"/>
      <c r="G466" s="14"/>
      <c r="H466" s="1"/>
    </row>
    <row r="467" spans="1:8">
      <c r="A467" s="2"/>
      <c r="B467" s="12"/>
      <c r="C467" s="2"/>
      <c r="D467" s="13"/>
      <c r="E467" s="8" t="str">
        <f>IF(C467="","",MAX(0,SUMIFS('CHIT REGISTER (ಮಾಸಿಕ ಚಿಟ್ ನೋಂದಣ'!$D$5:$D$502,'CHIT REGISTER (ಮಾಸಿಕ ಚಿಟ್ ನೋಂದಣ'!$F$5:$F$502,C467,'CHIT REGISTER (ಮಾಸಿಕ ಚಿಟ್ ನೋಂದಣ'!$G$5:$G$502,"UNPAID")-IF(F467="PAID",N(D467),0)))</f>
        <v/>
      </c>
      <c r="F467" s="4"/>
      <c r="G467" s="12"/>
      <c r="H467" s="2"/>
    </row>
    <row r="468" spans="1:8">
      <c r="A468" s="1"/>
      <c r="B468" s="14"/>
      <c r="C468" s="1"/>
      <c r="D468" s="15"/>
      <c r="E468" s="9" t="str">
        <f>IF(C468="","",MAX(0,SUMIFS('CHIT REGISTER (ಮಾಸಿಕ ಚಿಟ್ ನೋಂದಣ'!$D$5:$D$502,'CHIT REGISTER (ಮಾಸಿಕ ಚಿಟ್ ನೋಂದಣ'!$F$5:$F$502,C468,'CHIT REGISTER (ಮಾಸಿಕ ಚಿಟ್ ನೋಂದಣ'!$G$5:$G$502,"UNPAID")-IF(F468="PAID",N(D468),0)))</f>
        <v/>
      </c>
      <c r="F468" s="3"/>
      <c r="G468" s="14"/>
      <c r="H468" s="1"/>
    </row>
    <row r="469" spans="1:8">
      <c r="A469" s="2"/>
      <c r="B469" s="12"/>
      <c r="C469" s="2"/>
      <c r="D469" s="13"/>
      <c r="E469" s="8" t="str">
        <f>IF(C469="","",MAX(0,SUMIFS('CHIT REGISTER (ಮಾಸಿಕ ಚಿಟ್ ನೋಂದಣ'!$D$5:$D$502,'CHIT REGISTER (ಮಾಸಿಕ ಚಿಟ್ ನೋಂದಣ'!$F$5:$F$502,C469,'CHIT REGISTER (ಮಾಸಿಕ ಚಿಟ್ ನೋಂದಣ'!$G$5:$G$502,"UNPAID")-IF(F469="PAID",N(D469),0)))</f>
        <v/>
      </c>
      <c r="F469" s="4"/>
      <c r="G469" s="12"/>
      <c r="H469" s="2"/>
    </row>
    <row r="470" spans="1:8">
      <c r="A470" s="1"/>
      <c r="B470" s="14"/>
      <c r="C470" s="1"/>
      <c r="D470" s="15"/>
      <c r="E470" s="9" t="str">
        <f>IF(C470="","",MAX(0,SUMIFS('CHIT REGISTER (ಮಾಸಿಕ ಚಿಟ್ ನೋಂದಣ'!$D$5:$D$502,'CHIT REGISTER (ಮಾಸಿಕ ಚಿಟ್ ನೋಂದಣ'!$F$5:$F$502,C470,'CHIT REGISTER (ಮಾಸಿಕ ಚಿಟ್ ನೋಂದಣ'!$G$5:$G$502,"UNPAID")-IF(F470="PAID",N(D470),0)))</f>
        <v/>
      </c>
      <c r="F470" s="3"/>
      <c r="G470" s="14"/>
      <c r="H470" s="1"/>
    </row>
    <row r="471" spans="1:8">
      <c r="A471" s="2"/>
      <c r="B471" s="12"/>
      <c r="C471" s="2"/>
      <c r="D471" s="13"/>
      <c r="E471" s="8" t="str">
        <f>IF(C471="","",MAX(0,SUMIFS('CHIT REGISTER (ಮಾಸಿಕ ಚಿಟ್ ನೋಂದಣ'!$D$5:$D$502,'CHIT REGISTER (ಮಾಸಿಕ ಚಿಟ್ ನೋಂದಣ'!$F$5:$F$502,C471,'CHIT REGISTER (ಮಾಸಿಕ ಚಿಟ್ ನೋಂದಣ'!$G$5:$G$502,"UNPAID")-IF(F471="PAID",N(D471),0)))</f>
        <v/>
      </c>
      <c r="F471" s="4"/>
      <c r="G471" s="12"/>
      <c r="H471" s="2"/>
    </row>
    <row r="472" spans="1:8">
      <c r="A472" s="1"/>
      <c r="B472" s="14"/>
      <c r="C472" s="1"/>
      <c r="D472" s="15"/>
      <c r="E472" s="9" t="str">
        <f>IF(C472="","",MAX(0,SUMIFS('CHIT REGISTER (ಮಾಸಿಕ ಚಿಟ್ ನೋಂದಣ'!$D$5:$D$502,'CHIT REGISTER (ಮಾಸಿಕ ಚಿಟ್ ನೋಂದಣ'!$F$5:$F$502,C472,'CHIT REGISTER (ಮಾಸಿಕ ಚಿಟ್ ನೋಂದಣ'!$G$5:$G$502,"UNPAID")-IF(F472="PAID",N(D472),0)))</f>
        <v/>
      </c>
      <c r="F472" s="3"/>
      <c r="G472" s="14"/>
      <c r="H472" s="1"/>
    </row>
    <row r="473" spans="1:8">
      <c r="A473" s="2"/>
      <c r="B473" s="12"/>
      <c r="C473" s="2"/>
      <c r="D473" s="13"/>
      <c r="E473" s="8" t="str">
        <f>IF(C473="","",MAX(0,SUMIFS('CHIT REGISTER (ಮಾಸಿಕ ಚಿಟ್ ನೋಂದಣ'!$D$5:$D$502,'CHIT REGISTER (ಮಾಸಿಕ ಚಿಟ್ ನೋಂದಣ'!$F$5:$F$502,C473,'CHIT REGISTER (ಮಾಸಿಕ ಚಿಟ್ ನೋಂದಣ'!$G$5:$G$502,"UNPAID")-IF(F473="PAID",N(D473),0)))</f>
        <v/>
      </c>
      <c r="F473" s="4"/>
      <c r="G473" s="12"/>
      <c r="H473" s="2"/>
    </row>
    <row r="474" spans="1:8">
      <c r="A474" s="1"/>
      <c r="B474" s="14"/>
      <c r="C474" s="1"/>
      <c r="D474" s="15"/>
      <c r="E474" s="9" t="str">
        <f>IF(C474="","",MAX(0,SUMIFS('CHIT REGISTER (ಮಾಸಿಕ ಚಿಟ್ ನೋಂದಣ'!$D$5:$D$502,'CHIT REGISTER (ಮಾಸಿಕ ಚಿಟ್ ನೋಂದಣ'!$F$5:$F$502,C474,'CHIT REGISTER (ಮಾಸಿಕ ಚಿಟ್ ನೋಂದಣ'!$G$5:$G$502,"UNPAID")-IF(F474="PAID",N(D474),0)))</f>
        <v/>
      </c>
      <c r="F474" s="3"/>
      <c r="G474" s="14"/>
      <c r="H474" s="1"/>
    </row>
    <row r="475" spans="1:8">
      <c r="A475" s="2"/>
      <c r="B475" s="12"/>
      <c r="C475" s="2"/>
      <c r="D475" s="13"/>
      <c r="E475" s="8" t="str">
        <f>IF(C475="","",MAX(0,SUMIFS('CHIT REGISTER (ಮಾಸಿಕ ಚಿಟ್ ನೋಂದಣ'!$D$5:$D$502,'CHIT REGISTER (ಮಾಸಿಕ ಚಿಟ್ ನೋಂದಣ'!$F$5:$F$502,C475,'CHIT REGISTER (ಮಾಸಿಕ ಚಿಟ್ ನೋಂದಣ'!$G$5:$G$502,"UNPAID")-IF(F475="PAID",N(D475),0)))</f>
        <v/>
      </c>
      <c r="F475" s="4"/>
      <c r="G475" s="12"/>
      <c r="H475" s="2"/>
    </row>
    <row r="476" spans="1:8">
      <c r="A476" s="1"/>
      <c r="B476" s="14"/>
      <c r="C476" s="1"/>
      <c r="D476" s="15"/>
      <c r="E476" s="9" t="str">
        <f>IF(C476="","",MAX(0,SUMIFS('CHIT REGISTER (ಮಾಸಿಕ ಚಿಟ್ ನೋಂದಣ'!$D$5:$D$502,'CHIT REGISTER (ಮಾಸಿಕ ಚಿಟ್ ನೋಂದಣ'!$F$5:$F$502,C476,'CHIT REGISTER (ಮಾಸಿಕ ಚಿಟ್ ನೋಂದಣ'!$G$5:$G$502,"UNPAID")-IF(F476="PAID",N(D476),0)))</f>
        <v/>
      </c>
      <c r="F476" s="3"/>
      <c r="G476" s="14"/>
      <c r="H476" s="1"/>
    </row>
    <row r="477" spans="1:8">
      <c r="A477" s="2"/>
      <c r="B477" s="12"/>
      <c r="C477" s="2"/>
      <c r="D477" s="13"/>
      <c r="E477" s="8" t="str">
        <f>IF(C477="","",MAX(0,SUMIFS('CHIT REGISTER (ಮಾಸಿಕ ಚಿಟ್ ನೋಂದಣ'!$D$5:$D$502,'CHIT REGISTER (ಮಾಸಿಕ ಚಿಟ್ ನೋಂದಣ'!$F$5:$F$502,C477,'CHIT REGISTER (ಮಾಸಿಕ ಚಿಟ್ ನೋಂದಣ'!$G$5:$G$502,"UNPAID")-IF(F477="PAID",N(D477),0)))</f>
        <v/>
      </c>
      <c r="F477" s="4"/>
      <c r="G477" s="12"/>
      <c r="H477" s="2"/>
    </row>
    <row r="478" spans="1:8">
      <c r="A478" s="1"/>
      <c r="B478" s="14"/>
      <c r="C478" s="1"/>
      <c r="D478" s="15"/>
      <c r="E478" s="9" t="str">
        <f>IF(C478="","",MAX(0,SUMIFS('CHIT REGISTER (ಮಾಸಿಕ ಚಿಟ್ ನೋಂದಣ'!$D$5:$D$502,'CHIT REGISTER (ಮಾಸಿಕ ಚಿಟ್ ನೋಂದಣ'!$F$5:$F$502,C478,'CHIT REGISTER (ಮಾಸಿಕ ಚಿಟ್ ನೋಂದಣ'!$G$5:$G$502,"UNPAID")-IF(F478="PAID",N(D478),0)))</f>
        <v/>
      </c>
      <c r="F478" s="3"/>
      <c r="G478" s="14"/>
      <c r="H478" s="1"/>
    </row>
    <row r="479" spans="1:8">
      <c r="A479" s="2"/>
      <c r="B479" s="12"/>
      <c r="C479" s="2"/>
      <c r="D479" s="13"/>
      <c r="E479" s="8" t="str">
        <f>IF(C479="","",MAX(0,SUMIFS('CHIT REGISTER (ಮಾಸಿಕ ಚಿಟ್ ನೋಂದಣ'!$D$5:$D$502,'CHIT REGISTER (ಮಾಸಿಕ ಚಿಟ್ ನೋಂದಣ'!$F$5:$F$502,C479,'CHIT REGISTER (ಮಾಸಿಕ ಚಿಟ್ ನೋಂದಣ'!$G$5:$G$502,"UNPAID")-IF(F479="PAID",N(D479),0)))</f>
        <v/>
      </c>
      <c r="F479" s="4"/>
      <c r="G479" s="12"/>
      <c r="H479" s="2"/>
    </row>
    <row r="480" spans="1:8">
      <c r="A480" s="1"/>
      <c r="B480" s="14"/>
      <c r="C480" s="1"/>
      <c r="D480" s="15"/>
      <c r="E480" s="9" t="str">
        <f>IF(C480="","",MAX(0,SUMIFS('CHIT REGISTER (ಮಾಸಿಕ ಚಿಟ್ ನೋಂದಣ'!$D$5:$D$502,'CHIT REGISTER (ಮಾಸಿಕ ಚಿಟ್ ನೋಂದಣ'!$F$5:$F$502,C480,'CHIT REGISTER (ಮಾಸಿಕ ಚಿಟ್ ನೋಂದಣ'!$G$5:$G$502,"UNPAID")-IF(F480="PAID",N(D480),0)))</f>
        <v/>
      </c>
      <c r="F480" s="3"/>
      <c r="G480" s="14"/>
      <c r="H480" s="1"/>
    </row>
    <row r="481" spans="1:8">
      <c r="A481" s="2"/>
      <c r="B481" s="12"/>
      <c r="C481" s="2"/>
      <c r="D481" s="13"/>
      <c r="E481" s="8" t="str">
        <f>IF(C481="","",MAX(0,SUMIFS('CHIT REGISTER (ಮಾಸಿಕ ಚಿಟ್ ನೋಂದಣ'!$D$5:$D$502,'CHIT REGISTER (ಮಾಸಿಕ ಚಿಟ್ ನೋಂದಣ'!$F$5:$F$502,C481,'CHIT REGISTER (ಮಾಸಿಕ ಚಿಟ್ ನೋಂದಣ'!$G$5:$G$502,"UNPAID")-IF(F481="PAID",N(D481),0)))</f>
        <v/>
      </c>
      <c r="F481" s="4"/>
      <c r="G481" s="12"/>
      <c r="H481" s="2"/>
    </row>
    <row r="482" spans="1:8">
      <c r="A482" s="1"/>
      <c r="B482" s="14"/>
      <c r="C482" s="1"/>
      <c r="D482" s="15"/>
      <c r="E482" s="9" t="str">
        <f>IF(C482="","",MAX(0,SUMIFS('CHIT REGISTER (ಮಾಸಿಕ ಚಿಟ್ ನೋಂದಣ'!$D$5:$D$502,'CHIT REGISTER (ಮಾಸಿಕ ಚಿಟ್ ನೋಂದಣ'!$F$5:$F$502,C482,'CHIT REGISTER (ಮಾಸಿಕ ಚಿಟ್ ನೋಂದಣ'!$G$5:$G$502,"UNPAID")-IF(F482="PAID",N(D482),0)))</f>
        <v/>
      </c>
      <c r="F482" s="3"/>
      <c r="G482" s="14"/>
      <c r="H482" s="1"/>
    </row>
    <row r="483" spans="1:8">
      <c r="A483" s="2"/>
      <c r="B483" s="12"/>
      <c r="C483" s="2"/>
      <c r="D483" s="13"/>
      <c r="E483" s="8" t="str">
        <f>IF(C483="","",MAX(0,SUMIFS('CHIT REGISTER (ಮಾಸಿಕ ಚಿಟ್ ನೋಂದಣ'!$D$5:$D$502,'CHIT REGISTER (ಮಾಸಿಕ ಚಿಟ್ ನೋಂದಣ'!$F$5:$F$502,C483,'CHIT REGISTER (ಮಾಸಿಕ ಚಿಟ್ ನೋಂದಣ'!$G$5:$G$502,"UNPAID")-IF(F483="PAID",N(D483),0)))</f>
        <v/>
      </c>
      <c r="F483" s="4"/>
      <c r="G483" s="12"/>
      <c r="H483" s="2"/>
    </row>
    <row r="484" spans="1:8">
      <c r="A484" s="1"/>
      <c r="B484" s="14"/>
      <c r="C484" s="1"/>
      <c r="D484" s="15"/>
      <c r="E484" s="9" t="str">
        <f>IF(C484="","",MAX(0,SUMIFS('CHIT REGISTER (ಮಾಸಿಕ ಚಿಟ್ ನೋಂದಣ'!$D$5:$D$502,'CHIT REGISTER (ಮಾಸಿಕ ಚಿಟ್ ನೋಂದಣ'!$F$5:$F$502,C484,'CHIT REGISTER (ಮಾಸಿಕ ಚಿಟ್ ನೋಂದಣ'!$G$5:$G$502,"UNPAID")-IF(F484="PAID",N(D484),0)))</f>
        <v/>
      </c>
      <c r="F484" s="3"/>
      <c r="G484" s="14"/>
      <c r="H484" s="1"/>
    </row>
    <row r="485" spans="1:8">
      <c r="A485" s="2"/>
      <c r="B485" s="12"/>
      <c r="C485" s="2"/>
      <c r="D485" s="13"/>
      <c r="E485" s="8" t="str">
        <f>IF(C485="","",MAX(0,SUMIFS('CHIT REGISTER (ಮಾಸಿಕ ಚಿಟ್ ನೋಂದಣ'!$D$5:$D$502,'CHIT REGISTER (ಮಾಸಿಕ ಚಿಟ್ ನೋಂದಣ'!$F$5:$F$502,C485,'CHIT REGISTER (ಮಾಸಿಕ ಚಿಟ್ ನೋಂದಣ'!$G$5:$G$502,"UNPAID")-IF(F485="PAID",N(D485),0)))</f>
        <v/>
      </c>
      <c r="F485" s="4"/>
      <c r="G485" s="12"/>
      <c r="H485" s="2"/>
    </row>
    <row r="486" spans="1:8">
      <c r="A486" s="1"/>
      <c r="B486" s="14"/>
      <c r="C486" s="1"/>
      <c r="D486" s="15"/>
      <c r="E486" s="9" t="str">
        <f>IF(C486="","",MAX(0,SUMIFS('CHIT REGISTER (ಮಾಸಿಕ ಚಿಟ್ ನೋಂದಣ'!$D$5:$D$502,'CHIT REGISTER (ಮಾಸಿಕ ಚಿಟ್ ನೋಂದಣ'!$F$5:$F$502,C486,'CHIT REGISTER (ಮಾಸಿಕ ಚಿಟ್ ನೋಂದಣ'!$G$5:$G$502,"UNPAID")-IF(F486="PAID",N(D486),0)))</f>
        <v/>
      </c>
      <c r="F486" s="3"/>
      <c r="G486" s="14"/>
      <c r="H486" s="1"/>
    </row>
    <row r="487" spans="1:8">
      <c r="A487" s="2"/>
      <c r="B487" s="12"/>
      <c r="C487" s="2"/>
      <c r="D487" s="13"/>
      <c r="E487" s="8" t="str">
        <f>IF(C487="","",MAX(0,SUMIFS('CHIT REGISTER (ಮಾಸಿಕ ಚಿಟ್ ನೋಂದಣ'!$D$5:$D$502,'CHIT REGISTER (ಮಾಸಿಕ ಚಿಟ್ ನೋಂದಣ'!$F$5:$F$502,C487,'CHIT REGISTER (ಮಾಸಿಕ ಚಿಟ್ ನೋಂದಣ'!$G$5:$G$502,"UNPAID")-IF(F487="PAID",N(D487),0)))</f>
        <v/>
      </c>
      <c r="F487" s="4"/>
      <c r="G487" s="12"/>
      <c r="H487" s="2"/>
    </row>
    <row r="488" spans="1:8">
      <c r="A488" s="1"/>
      <c r="B488" s="14"/>
      <c r="C488" s="1"/>
      <c r="D488" s="15"/>
      <c r="E488" s="9" t="str">
        <f>IF(C488="","",MAX(0,SUMIFS('CHIT REGISTER (ಮಾಸಿಕ ಚಿಟ್ ನೋಂದಣ'!$D$5:$D$502,'CHIT REGISTER (ಮಾಸಿಕ ಚಿಟ್ ನೋಂದಣ'!$F$5:$F$502,C488,'CHIT REGISTER (ಮಾಸಿಕ ಚಿಟ್ ನೋಂದಣ'!$G$5:$G$502,"UNPAID")-IF(F488="PAID",N(D488),0)))</f>
        <v/>
      </c>
      <c r="F488" s="3"/>
      <c r="G488" s="14"/>
      <c r="H488" s="1"/>
    </row>
    <row r="489" spans="1:8">
      <c r="A489" s="2"/>
      <c r="B489" s="12"/>
      <c r="C489" s="2"/>
      <c r="D489" s="13"/>
      <c r="E489" s="8" t="str">
        <f>IF(C489="","",MAX(0,SUMIFS('CHIT REGISTER (ಮಾಸಿಕ ಚಿಟ್ ನೋಂದಣ'!$D$5:$D$502,'CHIT REGISTER (ಮಾಸಿಕ ಚಿಟ್ ನೋಂದಣ'!$F$5:$F$502,C489,'CHIT REGISTER (ಮಾಸಿಕ ಚಿಟ್ ನೋಂದಣ'!$G$5:$G$502,"UNPAID")-IF(F489="PAID",N(D489),0)))</f>
        <v/>
      </c>
      <c r="F489" s="4"/>
      <c r="G489" s="12"/>
      <c r="H489" s="2"/>
    </row>
    <row r="490" spans="1:8">
      <c r="A490" s="1"/>
      <c r="B490" s="14"/>
      <c r="C490" s="1"/>
      <c r="D490" s="15"/>
      <c r="E490" s="9" t="str">
        <f>IF(C490="","",MAX(0,SUMIFS('CHIT REGISTER (ಮಾಸಿಕ ಚಿಟ್ ನೋಂದಣ'!$D$5:$D$502,'CHIT REGISTER (ಮಾಸಿಕ ಚಿಟ್ ನೋಂದಣ'!$F$5:$F$502,C490,'CHIT REGISTER (ಮಾಸಿಕ ಚಿಟ್ ನೋಂದಣ'!$G$5:$G$502,"UNPAID")-IF(F490="PAID",N(D490),0)))</f>
        <v/>
      </c>
      <c r="F490" s="3"/>
      <c r="G490" s="14"/>
      <c r="H490" s="1"/>
    </row>
    <row r="491" spans="1:8">
      <c r="A491" s="2"/>
      <c r="B491" s="12"/>
      <c r="C491" s="2"/>
      <c r="D491" s="13"/>
      <c r="E491" s="8" t="str">
        <f>IF(C491="","",MAX(0,SUMIFS('CHIT REGISTER (ಮಾಸಿಕ ಚಿಟ್ ನೋಂದಣ'!$D$5:$D$502,'CHIT REGISTER (ಮಾಸಿಕ ಚಿಟ್ ನೋಂದಣ'!$F$5:$F$502,C491,'CHIT REGISTER (ಮಾಸಿಕ ಚಿಟ್ ನೋಂದಣ'!$G$5:$G$502,"UNPAID")-IF(F491="PAID",N(D491),0)))</f>
        <v/>
      </c>
      <c r="F491" s="4"/>
      <c r="G491" s="12"/>
      <c r="H491" s="2"/>
    </row>
    <row r="492" spans="1:8">
      <c r="A492" s="1"/>
      <c r="B492" s="14"/>
      <c r="C492" s="1"/>
      <c r="D492" s="15"/>
      <c r="E492" s="9" t="str">
        <f>IF(C492="","",MAX(0,SUMIFS('CHIT REGISTER (ಮಾಸಿಕ ಚಿಟ್ ನೋಂದಣ'!$D$5:$D$502,'CHIT REGISTER (ಮಾಸಿಕ ಚಿಟ್ ನೋಂದಣ'!$F$5:$F$502,C492,'CHIT REGISTER (ಮಾಸಿಕ ಚಿಟ್ ನೋಂದಣ'!$G$5:$G$502,"UNPAID")-IF(F492="PAID",N(D492),0)))</f>
        <v/>
      </c>
      <c r="F492" s="3"/>
      <c r="G492" s="14"/>
      <c r="H492" s="1"/>
    </row>
    <row r="493" spans="1:8">
      <c r="A493" s="2"/>
      <c r="B493" s="12"/>
      <c r="C493" s="2"/>
      <c r="D493" s="13"/>
      <c r="E493" s="8" t="str">
        <f>IF(C493="","",MAX(0,SUMIFS('CHIT REGISTER (ಮಾಸಿಕ ಚಿಟ್ ನೋಂದಣ'!$D$5:$D$502,'CHIT REGISTER (ಮಾಸಿಕ ಚಿಟ್ ನೋಂದಣ'!$F$5:$F$502,C493,'CHIT REGISTER (ಮಾಸಿಕ ಚಿಟ್ ನೋಂದಣ'!$G$5:$G$502,"UNPAID")-IF(F493="PAID",N(D493),0)))</f>
        <v/>
      </c>
      <c r="F493" s="4"/>
      <c r="G493" s="12"/>
      <c r="H493" s="2"/>
    </row>
    <row r="494" spans="1:8">
      <c r="A494" s="1"/>
      <c r="B494" s="14"/>
      <c r="C494" s="1"/>
      <c r="D494" s="15"/>
      <c r="E494" s="9" t="str">
        <f>IF(C494="","",MAX(0,SUMIFS('CHIT REGISTER (ಮಾಸಿಕ ಚಿಟ್ ನೋಂದಣ'!$D$5:$D$502,'CHIT REGISTER (ಮಾಸಿಕ ಚಿಟ್ ನೋಂದಣ'!$F$5:$F$502,C494,'CHIT REGISTER (ಮಾಸಿಕ ಚಿಟ್ ನೋಂದಣ'!$G$5:$G$502,"UNPAID")-IF(F494="PAID",N(D494),0)))</f>
        <v/>
      </c>
      <c r="F494" s="3"/>
      <c r="G494" s="14"/>
      <c r="H494" s="1"/>
    </row>
    <row r="495" spans="1:8">
      <c r="A495" s="2"/>
      <c r="B495" s="12"/>
      <c r="C495" s="2"/>
      <c r="D495" s="13"/>
      <c r="E495" s="8" t="str">
        <f>IF(C495="","",MAX(0,SUMIFS('CHIT REGISTER (ಮಾಸಿಕ ಚಿಟ್ ನೋಂದಣ'!$D$5:$D$502,'CHIT REGISTER (ಮಾಸಿಕ ಚಿಟ್ ನೋಂದಣ'!$F$5:$F$502,C495,'CHIT REGISTER (ಮಾಸಿಕ ಚಿಟ್ ನೋಂದಣ'!$G$5:$G$502,"UNPAID")-IF(F495="PAID",N(D495),0)))</f>
        <v/>
      </c>
      <c r="F495" s="4"/>
      <c r="G495" s="12"/>
      <c r="H495" s="2"/>
    </row>
    <row r="496" spans="1:8">
      <c r="A496" s="1"/>
      <c r="B496" s="14"/>
      <c r="C496" s="1"/>
      <c r="D496" s="15"/>
      <c r="E496" s="9" t="str">
        <f>IF(C496="","",MAX(0,SUMIFS('CHIT REGISTER (ಮಾಸಿಕ ಚಿಟ್ ನೋಂದಣ'!$D$5:$D$502,'CHIT REGISTER (ಮಾಸಿಕ ಚಿಟ್ ನೋಂದಣ'!$F$5:$F$502,C496,'CHIT REGISTER (ಮಾಸಿಕ ಚಿಟ್ ನೋಂದಣ'!$G$5:$G$502,"UNPAID")-IF(F496="PAID",N(D496),0)))</f>
        <v/>
      </c>
      <c r="F496" s="3"/>
      <c r="G496" s="14"/>
      <c r="H496" s="1"/>
    </row>
    <row r="497" spans="1:8">
      <c r="A497" s="2"/>
      <c r="B497" s="12"/>
      <c r="C497" s="2"/>
      <c r="D497" s="13"/>
      <c r="E497" s="8" t="str">
        <f>IF(C497="","",MAX(0,SUMIFS('CHIT REGISTER (ಮಾಸಿಕ ಚಿಟ್ ನೋಂದಣ'!$D$5:$D$502,'CHIT REGISTER (ಮಾಸಿಕ ಚಿಟ್ ನೋಂದಣ'!$F$5:$F$502,C497,'CHIT REGISTER (ಮಾಸಿಕ ಚಿಟ್ ನೋಂದಣ'!$G$5:$G$502,"UNPAID")-IF(F497="PAID",N(D497),0)))</f>
        <v/>
      </c>
      <c r="F497" s="4"/>
      <c r="G497" s="12"/>
      <c r="H497" s="2"/>
    </row>
    <row r="498" spans="1:8">
      <c r="A498" s="1"/>
      <c r="B498" s="14"/>
      <c r="C498" s="1"/>
      <c r="D498" s="15"/>
      <c r="E498" s="9" t="str">
        <f>IF(C498="","",MAX(0,SUMIFS('CHIT REGISTER (ಮಾಸಿಕ ಚಿಟ್ ನೋಂದಣ'!$D$5:$D$502,'CHIT REGISTER (ಮಾಸಿಕ ಚಿಟ್ ನೋಂದಣ'!$F$5:$F$502,C498,'CHIT REGISTER (ಮಾಸಿಕ ಚಿಟ್ ನೋಂದಣ'!$G$5:$G$502,"UNPAID")-IF(F498="PAID",N(D498),0)))</f>
        <v/>
      </c>
      <c r="F498" s="3"/>
      <c r="G498" s="14"/>
      <c r="H498" s="1"/>
    </row>
    <row r="499" spans="1:8">
      <c r="A499" s="2"/>
      <c r="B499" s="12"/>
      <c r="C499" s="2"/>
      <c r="D499" s="13"/>
      <c r="E499" s="8" t="str">
        <f>IF(C499="","",MAX(0,SUMIFS('CHIT REGISTER (ಮಾಸಿಕ ಚಿಟ್ ನೋಂದಣ'!$D$5:$D$502,'CHIT REGISTER (ಮಾಸಿಕ ಚಿಟ್ ನೋಂದಣ'!$F$5:$F$502,C499,'CHIT REGISTER (ಮಾಸಿಕ ಚಿಟ್ ನೋಂದಣ'!$G$5:$G$502,"UNPAID")-IF(F499="PAID",N(D499),0)))</f>
        <v/>
      </c>
      <c r="F499" s="4"/>
      <c r="G499" s="12"/>
      <c r="H499" s="2"/>
    </row>
    <row r="500" spans="1:8">
      <c r="A500" s="1"/>
      <c r="B500" s="14"/>
      <c r="C500" s="1"/>
      <c r="D500" s="15"/>
      <c r="E500" s="9" t="str">
        <f>IF(C500="","",MAX(0,SUMIFS('CHIT REGISTER (ಮಾಸಿಕ ಚಿಟ್ ನೋಂದಣ'!$D$5:$D$502,'CHIT REGISTER (ಮಾಸಿಕ ಚಿಟ್ ನೋಂದಣ'!$F$5:$F$502,C500,'CHIT REGISTER (ಮಾಸಿಕ ಚಿಟ್ ನೋಂದಣ'!$G$5:$G$502,"UNPAID")-IF(F500="PAID",N(D500),0)))</f>
        <v/>
      </c>
      <c r="F500" s="3"/>
      <c r="G500" s="14"/>
      <c r="H500" s="1"/>
    </row>
    <row r="501" spans="1:8">
      <c r="A501" s="2"/>
      <c r="B501" s="12"/>
      <c r="C501" s="2"/>
      <c r="D501" s="13"/>
      <c r="E501" s="8" t="str">
        <f>IF(C501="","",MAX(0,SUMIFS('CHIT REGISTER (ಮಾಸಿಕ ಚಿಟ್ ನೋಂದಣ'!$D$5:$D$502,'CHIT REGISTER (ಮಾಸಿಕ ಚಿಟ್ ನೋಂದಣ'!$F$5:$F$502,C501,'CHIT REGISTER (ಮಾಸಿಕ ಚಿಟ್ ನೋಂದಣ'!$G$5:$G$502,"UNPAID")-IF(F501="PAID",N(D501),0)))</f>
        <v/>
      </c>
      <c r="F501" s="4"/>
      <c r="G501" s="12"/>
      <c r="H501" s="2"/>
    </row>
    <row r="502" spans="1:8">
      <c r="A502" s="1"/>
      <c r="B502" s="14"/>
      <c r="C502" s="1"/>
      <c r="D502" s="15"/>
      <c r="E502" s="9" t="str">
        <f>IF(C502="","",MAX(0,SUMIFS('CHIT REGISTER (ಮಾಸಿಕ ಚಿಟ್ ನೋಂದಣ'!$D$5:$D$502,'CHIT REGISTER (ಮಾಸಿಕ ಚಿಟ್ ನೋಂದಣ'!$F$5:$F$502,C502,'CHIT REGISTER (ಮಾಸಿಕ ಚಿಟ್ ನೋಂದಣ'!$G$5:$G$502,"UNPAID")-IF(F502="PAID",N(D502),0)))</f>
        <v/>
      </c>
      <c r="F502" s="3"/>
      <c r="G502" s="14"/>
      <c r="H502" s="1"/>
    </row>
    <row r="503" spans="1:8">
      <c r="A503" s="2"/>
      <c r="B503" s="12"/>
      <c r="C503" s="2"/>
      <c r="D503" s="13"/>
      <c r="E503" s="8" t="str">
        <f>IF(C503="","",MAX(0,SUMIFS('CHIT REGISTER (ಮಾಸಿಕ ಚಿಟ್ ನೋಂದಣ'!$D$5:$D$502,'CHIT REGISTER (ಮಾಸಿಕ ಚಿಟ್ ನೋಂದಣ'!$F$5:$F$502,C503,'CHIT REGISTER (ಮಾಸಿಕ ಚಿಟ್ ನೋಂದಣ'!$G$5:$G$502,"UNPAID")-IF(F503="PAID",N(D503),0)))</f>
        <v/>
      </c>
      <c r="F503" s="4"/>
      <c r="G503" s="12"/>
      <c r="H503" s="2"/>
    </row>
    <row r="504" spans="1:8">
      <c r="A504" s="1"/>
      <c r="B504" s="14"/>
      <c r="C504" s="1"/>
      <c r="D504" s="15"/>
      <c r="E504" s="9" t="str">
        <f>IF(C504="","",MAX(0,SUMIFS('CHIT REGISTER (ಮಾಸಿಕ ಚಿಟ್ ನೋಂದಣ'!$D$5:$D$502,'CHIT REGISTER (ಮಾಸಿಕ ಚಿಟ್ ನೋಂದಣ'!$F$5:$F$502,C504,'CHIT REGISTER (ಮಾಸಿಕ ಚಿಟ್ ನೋಂದಣ'!$G$5:$G$502,"UNPAID")-IF(F504="PAID",N(D504),0)))</f>
        <v/>
      </c>
      <c r="F504" s="3"/>
      <c r="G504" s="14"/>
      <c r="H504" s="1"/>
    </row>
    <row r="505" spans="1:8">
      <c r="A505" s="2"/>
      <c r="B505" s="12"/>
      <c r="C505" s="2"/>
      <c r="D505" s="13"/>
      <c r="E505" s="8" t="str">
        <f>IF(C505="","",MAX(0,SUMIFS('CHIT REGISTER (ಮಾಸಿಕ ಚಿಟ್ ನೋಂದಣ'!$D$5:$D$502,'CHIT REGISTER (ಮಾಸಿಕ ಚಿಟ್ ನೋಂದಣ'!$F$5:$F$502,C505,'CHIT REGISTER (ಮಾಸಿಕ ಚಿಟ್ ನೋಂದಣ'!$G$5:$G$502,"UNPAID")-IF(F505="PAID",N(D505),0)))</f>
        <v/>
      </c>
      <c r="F505" s="4"/>
      <c r="G505" s="12"/>
      <c r="H505" s="2"/>
    </row>
    <row r="506" spans="1:8">
      <c r="A506" s="1"/>
      <c r="B506" s="14"/>
      <c r="C506" s="1"/>
      <c r="D506" s="15"/>
      <c r="E506" s="9" t="str">
        <f>IF(C506="","",MAX(0,SUMIFS('CHIT REGISTER (ಮಾಸಿಕ ಚಿಟ್ ನೋಂದಣ'!$D$5:$D$502,'CHIT REGISTER (ಮಾಸಿಕ ಚಿಟ್ ನೋಂದಣ'!$F$5:$F$502,C506,'CHIT REGISTER (ಮಾಸಿಕ ಚಿಟ್ ನೋಂದಣ'!$G$5:$G$502,"UNPAID")-IF(F506="PAID",N(D506),0)))</f>
        <v/>
      </c>
      <c r="F506" s="3"/>
      <c r="G506" s="14"/>
      <c r="H506" s="1"/>
    </row>
    <row r="507" spans="1:8">
      <c r="A507" s="2"/>
      <c r="B507" s="12"/>
      <c r="C507" s="2"/>
      <c r="D507" s="13"/>
      <c r="E507" s="8" t="str">
        <f>IF(C507="","",MAX(0,SUMIFS('CHIT REGISTER (ಮಾಸಿಕ ಚಿಟ್ ನೋಂದಣ'!$D$5:$D$502,'CHIT REGISTER (ಮಾಸಿಕ ಚಿಟ್ ನೋಂದಣ'!$F$5:$F$502,C507,'CHIT REGISTER (ಮಾಸಿಕ ಚಿಟ್ ನೋಂದಣ'!$G$5:$G$502,"UNPAID")-IF(F507="PAID",N(D507),0)))</f>
        <v/>
      </c>
      <c r="F507" s="4"/>
      <c r="G507" s="12"/>
      <c r="H507" s="2"/>
    </row>
    <row r="508" spans="1:8">
      <c r="A508" s="1"/>
      <c r="B508" s="14"/>
      <c r="C508" s="1"/>
      <c r="D508" s="15"/>
      <c r="E508" s="9" t="str">
        <f>IF(C508="","",MAX(0,SUMIFS('CHIT REGISTER (ಮಾಸಿಕ ಚಿಟ್ ನೋಂದಣ'!$D$5:$D$502,'CHIT REGISTER (ಮಾಸಿಕ ಚಿಟ್ ನೋಂದಣ'!$F$5:$F$502,C508,'CHIT REGISTER (ಮಾಸಿಕ ಚಿಟ್ ನೋಂದಣ'!$G$5:$G$502,"UNPAID")-IF(F508="PAID",N(D508),0)))</f>
        <v/>
      </c>
      <c r="F508" s="3"/>
      <c r="G508" s="14"/>
      <c r="H508" s="1"/>
    </row>
    <row r="509" spans="1:8">
      <c r="A509" s="2"/>
      <c r="B509" s="12"/>
      <c r="C509" s="2"/>
      <c r="D509" s="13"/>
      <c r="E509" s="8" t="str">
        <f>IF(C509="","",MAX(0,SUMIFS('CHIT REGISTER (ಮಾಸಿಕ ಚಿಟ್ ನೋಂದಣ'!$D$5:$D$502,'CHIT REGISTER (ಮಾಸಿಕ ಚಿಟ್ ನೋಂದಣ'!$F$5:$F$502,C509,'CHIT REGISTER (ಮಾಸಿಕ ಚಿಟ್ ನೋಂದಣ'!$G$5:$G$502,"UNPAID")-IF(F509="PAID",N(D509),0)))</f>
        <v/>
      </c>
      <c r="F509" s="4"/>
      <c r="G509" s="12"/>
      <c r="H509" s="2"/>
    </row>
    <row r="510" spans="1:8">
      <c r="A510" s="1"/>
      <c r="B510" s="14"/>
      <c r="C510" s="1"/>
      <c r="D510" s="15"/>
      <c r="E510" s="9" t="str">
        <f>IF(C510="","",MAX(0,SUMIFS('CHIT REGISTER (ಮಾಸಿಕ ಚಿಟ್ ನೋಂದಣ'!$D$5:$D$502,'CHIT REGISTER (ಮಾಸಿಕ ಚಿಟ್ ನೋಂದಣ'!$F$5:$F$502,C510,'CHIT REGISTER (ಮಾಸಿಕ ಚಿಟ್ ನೋಂದಣ'!$G$5:$G$502,"UNPAID")-IF(F510="PAID",N(D510),0)))</f>
        <v/>
      </c>
      <c r="F510" s="3"/>
      <c r="G510" s="14"/>
      <c r="H510" s="1"/>
    </row>
    <row r="511" spans="1:8">
      <c r="A511" s="2"/>
      <c r="B511" s="12"/>
      <c r="C511" s="2"/>
      <c r="D511" s="13"/>
      <c r="E511" s="8" t="str">
        <f>IF(C511="","",MAX(0,SUMIFS('CHIT REGISTER (ಮಾಸಿಕ ಚಿಟ್ ನೋಂದಣ'!$D$5:$D$502,'CHIT REGISTER (ಮಾಸಿಕ ಚಿಟ್ ನೋಂದಣ'!$F$5:$F$502,C511,'CHIT REGISTER (ಮಾಸಿಕ ಚಿಟ್ ನೋಂದಣ'!$G$5:$G$502,"UNPAID")-IF(F511="PAID",N(D511),0)))</f>
        <v/>
      </c>
      <c r="F511" s="4"/>
      <c r="G511" s="12"/>
      <c r="H511" s="2"/>
    </row>
    <row r="512" spans="1:8">
      <c r="A512" s="1"/>
      <c r="B512" s="14"/>
      <c r="C512" s="1"/>
      <c r="D512" s="15"/>
      <c r="E512" s="9" t="str">
        <f>IF(C512="","",MAX(0,SUMIFS('CHIT REGISTER (ಮಾಸಿಕ ಚಿಟ್ ನೋಂದಣ'!$D$5:$D$502,'CHIT REGISTER (ಮಾಸಿಕ ಚಿಟ್ ನೋಂದಣ'!$F$5:$F$502,C512,'CHIT REGISTER (ಮಾಸಿಕ ಚಿಟ್ ನೋಂದಣ'!$G$5:$G$502,"UNPAID")-IF(F512="PAID",N(D512),0)))</f>
        <v/>
      </c>
      <c r="F512" s="3"/>
      <c r="G512" s="14"/>
      <c r="H512" s="1"/>
    </row>
    <row r="513" spans="1:8">
      <c r="A513" s="2"/>
      <c r="B513" s="12"/>
      <c r="C513" s="2"/>
      <c r="D513" s="13"/>
      <c r="E513" s="8" t="str">
        <f>IF(C513="","",MAX(0,SUMIFS('CHIT REGISTER (ಮಾಸಿಕ ಚಿಟ್ ನೋಂದಣ'!$D$5:$D$502,'CHIT REGISTER (ಮಾಸಿಕ ಚಿಟ್ ನೋಂದಣ'!$F$5:$F$502,C513,'CHIT REGISTER (ಮಾಸಿಕ ಚಿಟ್ ನೋಂದಣ'!$G$5:$G$502,"UNPAID")-IF(F513="PAID",N(D513),0)))</f>
        <v/>
      </c>
      <c r="F513" s="4"/>
      <c r="G513" s="12"/>
      <c r="H513" s="2"/>
    </row>
    <row r="514" spans="1:8">
      <c r="A514" s="1"/>
      <c r="B514" s="14"/>
      <c r="C514" s="1"/>
      <c r="D514" s="15"/>
      <c r="E514" s="9" t="str">
        <f>IF(C514="","",MAX(0,SUMIFS('CHIT REGISTER (ಮಾಸಿಕ ಚಿಟ್ ನೋಂದಣ'!$D$5:$D$502,'CHIT REGISTER (ಮಾಸಿಕ ಚಿಟ್ ನೋಂದಣ'!$F$5:$F$502,C514,'CHIT REGISTER (ಮಾಸಿಕ ಚಿಟ್ ನೋಂದಣ'!$G$5:$G$502,"UNPAID")-IF(F514="PAID",N(D514),0)))</f>
        <v/>
      </c>
      <c r="F514" s="3"/>
      <c r="G514" s="14"/>
      <c r="H514" s="1"/>
    </row>
    <row r="515" spans="1:8">
      <c r="A515" s="2"/>
      <c r="B515" s="12"/>
      <c r="C515" s="2"/>
      <c r="D515" s="13"/>
      <c r="E515" s="8" t="str">
        <f>IF(C515="","",MAX(0,SUMIFS('CHIT REGISTER (ಮಾಸಿಕ ಚಿಟ್ ನೋಂದಣ'!$D$5:$D$502,'CHIT REGISTER (ಮಾಸಿಕ ಚಿಟ್ ನೋಂದಣ'!$F$5:$F$502,C515,'CHIT REGISTER (ಮಾಸಿಕ ಚಿಟ್ ನೋಂದಣ'!$G$5:$G$502,"UNPAID")-IF(F515="PAID",N(D515),0)))</f>
        <v/>
      </c>
      <c r="F515" s="4"/>
      <c r="G515" s="12"/>
      <c r="H515" s="2"/>
    </row>
    <row r="516" spans="1:8">
      <c r="A516" s="1"/>
      <c r="B516" s="14"/>
      <c r="C516" s="1"/>
      <c r="D516" s="15"/>
      <c r="E516" s="9" t="str">
        <f>IF(C516="","",MAX(0,SUMIFS('CHIT REGISTER (ಮಾಸಿಕ ಚಿಟ್ ನೋಂದಣ'!$D$5:$D$502,'CHIT REGISTER (ಮಾಸಿಕ ಚಿಟ್ ನೋಂದಣ'!$F$5:$F$502,C516,'CHIT REGISTER (ಮಾಸಿಕ ಚಿಟ್ ನೋಂದಣ'!$G$5:$G$502,"UNPAID")-IF(F516="PAID",N(D516),0)))</f>
        <v/>
      </c>
      <c r="F516" s="3"/>
      <c r="G516" s="14"/>
      <c r="H516" s="1"/>
    </row>
    <row r="517" spans="1:8">
      <c r="A517" s="2"/>
      <c r="B517" s="12"/>
      <c r="C517" s="2"/>
      <c r="D517" s="13"/>
      <c r="E517" s="8" t="str">
        <f>IF(C517="","",MAX(0,SUMIFS('CHIT REGISTER (ಮಾಸಿಕ ಚಿಟ್ ನೋಂದಣ'!$D$5:$D$502,'CHIT REGISTER (ಮಾಸಿಕ ಚಿಟ್ ನೋಂದಣ'!$F$5:$F$502,C517,'CHIT REGISTER (ಮಾಸಿಕ ಚಿಟ್ ನೋಂದಣ'!$G$5:$G$502,"UNPAID")-IF(F517="PAID",N(D517),0)))</f>
        <v/>
      </c>
      <c r="F517" s="4"/>
      <c r="G517" s="12"/>
      <c r="H517" s="2"/>
    </row>
    <row r="518" spans="1:8">
      <c r="A518" s="1"/>
      <c r="B518" s="14"/>
      <c r="C518" s="1"/>
      <c r="D518" s="15"/>
      <c r="E518" s="9" t="str">
        <f>IF(C518="","",MAX(0,SUMIFS('CHIT REGISTER (ಮಾಸಿಕ ಚಿಟ್ ನೋಂದಣ'!$D$5:$D$502,'CHIT REGISTER (ಮಾಸಿಕ ಚಿಟ್ ನೋಂದಣ'!$F$5:$F$502,C518,'CHIT REGISTER (ಮಾಸಿಕ ಚಿಟ್ ನೋಂದಣ'!$G$5:$G$502,"UNPAID")-IF(F518="PAID",N(D518),0)))</f>
        <v/>
      </c>
      <c r="F518" s="3"/>
      <c r="G518" s="14"/>
      <c r="H518" s="1"/>
    </row>
    <row r="519" spans="1:8">
      <c r="A519" s="2"/>
      <c r="B519" s="12"/>
      <c r="C519" s="2"/>
      <c r="D519" s="13"/>
      <c r="E519" s="8" t="str">
        <f>IF(C519="","",MAX(0,SUMIFS('CHIT REGISTER (ಮಾಸಿಕ ಚಿಟ್ ನೋಂದಣ'!$D$5:$D$502,'CHIT REGISTER (ಮಾಸಿಕ ಚಿಟ್ ನೋಂದಣ'!$F$5:$F$502,C519,'CHIT REGISTER (ಮಾಸಿಕ ಚಿಟ್ ನೋಂದಣ'!$G$5:$G$502,"UNPAID")-IF(F519="PAID",N(D519),0)))</f>
        <v/>
      </c>
      <c r="F519" s="4"/>
      <c r="G519" s="12"/>
      <c r="H519" s="2"/>
    </row>
    <row r="520" spans="1:8">
      <c r="A520" s="1"/>
      <c r="B520" s="14"/>
      <c r="C520" s="1"/>
      <c r="D520" s="15"/>
      <c r="E520" s="9" t="str">
        <f>IF(C520="","",MAX(0,SUMIFS('CHIT REGISTER (ಮಾಸಿಕ ಚಿಟ್ ನೋಂದಣ'!$D$5:$D$502,'CHIT REGISTER (ಮಾಸಿಕ ಚಿಟ್ ನೋಂದಣ'!$F$5:$F$502,C520,'CHIT REGISTER (ಮಾಸಿಕ ಚಿಟ್ ನೋಂದಣ'!$G$5:$G$502,"UNPAID")-IF(F520="PAID",N(D520),0)))</f>
        <v/>
      </c>
      <c r="F520" s="3"/>
      <c r="G520" s="14"/>
      <c r="H520" s="1"/>
    </row>
    <row r="521" spans="1:8">
      <c r="A521" s="2"/>
      <c r="B521" s="12"/>
      <c r="C521" s="2"/>
      <c r="D521" s="13"/>
      <c r="E521" s="8" t="str">
        <f>IF(C521="","",MAX(0,SUMIFS('CHIT REGISTER (ಮಾಸಿಕ ಚಿಟ್ ನೋಂದಣ'!$D$5:$D$502,'CHIT REGISTER (ಮಾಸಿಕ ಚಿಟ್ ನೋಂದಣ'!$F$5:$F$502,C521,'CHIT REGISTER (ಮಾಸಿಕ ಚಿಟ್ ನೋಂದಣ'!$G$5:$G$502,"UNPAID")-IF(F521="PAID",N(D521),0)))</f>
        <v/>
      </c>
      <c r="F521" s="4"/>
      <c r="G521" s="12"/>
      <c r="H521" s="2"/>
    </row>
    <row r="522" spans="1:8">
      <c r="A522" s="1"/>
      <c r="B522" s="14"/>
      <c r="C522" s="1"/>
      <c r="D522" s="15"/>
      <c r="E522" s="9" t="str">
        <f>IF(C522="","",MAX(0,SUMIFS('CHIT REGISTER (ಮಾಸಿಕ ಚಿಟ್ ನೋಂದಣ'!$D$5:$D$502,'CHIT REGISTER (ಮಾಸಿಕ ಚಿಟ್ ನೋಂದಣ'!$F$5:$F$502,C522,'CHIT REGISTER (ಮಾಸಿಕ ಚಿಟ್ ನೋಂದಣ'!$G$5:$G$502,"UNPAID")-IF(F522="PAID",N(D522),0)))</f>
        <v/>
      </c>
      <c r="F522" s="3"/>
      <c r="G522" s="14"/>
      <c r="H522" s="1"/>
    </row>
    <row r="523" spans="1:8">
      <c r="A523" s="2"/>
      <c r="B523" s="12"/>
      <c r="C523" s="2"/>
      <c r="D523" s="13"/>
      <c r="E523" s="8" t="str">
        <f>IF(C523="","",MAX(0,SUMIFS('CHIT REGISTER (ಮಾಸಿಕ ಚಿಟ್ ನೋಂದಣ'!$D$5:$D$502,'CHIT REGISTER (ಮಾಸಿಕ ಚಿಟ್ ನೋಂದಣ'!$F$5:$F$502,C523,'CHIT REGISTER (ಮಾಸಿಕ ಚಿಟ್ ನೋಂದಣ'!$G$5:$G$502,"UNPAID")-IF(F523="PAID",N(D523),0)))</f>
        <v/>
      </c>
      <c r="F523" s="4"/>
      <c r="G523" s="12"/>
      <c r="H523" s="2"/>
    </row>
    <row r="524" spans="1:8">
      <c r="A524" s="1"/>
      <c r="B524" s="14"/>
      <c r="C524" s="1"/>
      <c r="D524" s="15"/>
      <c r="E524" s="9" t="str">
        <f>IF(C524="","",MAX(0,SUMIFS('CHIT REGISTER (ಮಾಸಿಕ ಚಿಟ್ ನೋಂದಣ'!$D$5:$D$502,'CHIT REGISTER (ಮಾಸಿಕ ಚಿಟ್ ನೋಂದಣ'!$F$5:$F$502,C524,'CHIT REGISTER (ಮಾಸಿಕ ಚಿಟ್ ನೋಂದಣ'!$G$5:$G$502,"UNPAID")-IF(F524="PAID",N(D524),0)))</f>
        <v/>
      </c>
      <c r="F524" s="3"/>
      <c r="G524" s="14"/>
      <c r="H524" s="1"/>
    </row>
    <row r="525" spans="1:8">
      <c r="A525" s="2"/>
      <c r="B525" s="12"/>
      <c r="C525" s="2"/>
      <c r="D525" s="13"/>
      <c r="E525" s="8" t="str">
        <f>IF(C525="","",MAX(0,SUMIFS('CHIT REGISTER (ಮಾಸಿಕ ಚಿಟ್ ನೋಂದಣ'!$D$5:$D$502,'CHIT REGISTER (ಮಾಸಿಕ ಚಿಟ್ ನೋಂದಣ'!$F$5:$F$502,C525,'CHIT REGISTER (ಮಾಸಿಕ ಚಿಟ್ ನೋಂದಣ'!$G$5:$G$502,"UNPAID")-IF(F525="PAID",N(D525),0)))</f>
        <v/>
      </c>
      <c r="F525" s="4"/>
      <c r="G525" s="12"/>
      <c r="H525" s="2"/>
    </row>
    <row r="526" spans="1:8">
      <c r="A526" s="1"/>
      <c r="B526" s="14"/>
      <c r="C526" s="1"/>
      <c r="D526" s="15"/>
      <c r="E526" s="9" t="str">
        <f>IF(C526="","",MAX(0,SUMIFS('CHIT REGISTER (ಮಾಸಿಕ ಚಿಟ್ ನೋಂದಣ'!$D$5:$D$502,'CHIT REGISTER (ಮಾಸಿಕ ಚಿಟ್ ನೋಂದಣ'!$F$5:$F$502,C526,'CHIT REGISTER (ಮಾಸಿಕ ಚಿಟ್ ನೋಂದಣ'!$G$5:$G$502,"UNPAID")-IF(F526="PAID",N(D526),0)))</f>
        <v/>
      </c>
      <c r="F526" s="3"/>
      <c r="G526" s="14"/>
      <c r="H526" s="1"/>
    </row>
    <row r="527" spans="1:8">
      <c r="A527" s="2"/>
      <c r="B527" s="12"/>
      <c r="C527" s="2"/>
      <c r="D527" s="13"/>
      <c r="E527" s="8" t="str">
        <f>IF(C527="","",MAX(0,SUMIFS('CHIT REGISTER (ಮಾಸಿಕ ಚಿಟ್ ನೋಂದಣ'!$D$5:$D$502,'CHIT REGISTER (ಮಾಸಿಕ ಚಿಟ್ ನೋಂದಣ'!$F$5:$F$502,C527,'CHIT REGISTER (ಮಾಸಿಕ ಚಿಟ್ ನೋಂದಣ'!$G$5:$G$502,"UNPAID")-IF(F527="PAID",N(D527),0)))</f>
        <v/>
      </c>
      <c r="F527" s="4"/>
      <c r="G527" s="12"/>
      <c r="H527" s="2"/>
    </row>
    <row r="528" spans="1:8">
      <c r="A528" s="1"/>
      <c r="B528" s="14"/>
      <c r="C528" s="1"/>
      <c r="D528" s="15"/>
      <c r="E528" s="9" t="str">
        <f>IF(C528="","",MAX(0,SUMIFS('CHIT REGISTER (ಮಾಸಿಕ ಚಿಟ್ ನೋಂದಣ'!$D$5:$D$502,'CHIT REGISTER (ಮಾಸಿಕ ಚಿಟ್ ನೋಂದಣ'!$F$5:$F$502,C528,'CHIT REGISTER (ಮಾಸಿಕ ಚಿಟ್ ನೋಂದಣ'!$G$5:$G$502,"UNPAID")-IF(F528="PAID",N(D528),0)))</f>
        <v/>
      </c>
      <c r="F528" s="3"/>
      <c r="G528" s="14"/>
      <c r="H528" s="1"/>
    </row>
    <row r="529" spans="1:8">
      <c r="A529" s="2"/>
      <c r="B529" s="12"/>
      <c r="C529" s="2"/>
      <c r="D529" s="13"/>
      <c r="E529" s="8" t="str">
        <f>IF(C529="","",MAX(0,SUMIFS('CHIT REGISTER (ಮಾಸಿಕ ಚಿಟ್ ನೋಂದಣ'!$D$5:$D$502,'CHIT REGISTER (ಮಾಸಿಕ ಚಿಟ್ ನೋಂದಣ'!$F$5:$F$502,C529,'CHIT REGISTER (ಮಾಸಿಕ ಚಿಟ್ ನೋಂದಣ'!$G$5:$G$502,"UNPAID")-IF(F529="PAID",N(D529),0)))</f>
        <v/>
      </c>
      <c r="F529" s="4"/>
      <c r="G529" s="12"/>
      <c r="H529" s="2"/>
    </row>
    <row r="530" spans="1:8">
      <c r="A530" s="1"/>
      <c r="B530" s="14"/>
      <c r="C530" s="1"/>
      <c r="D530" s="15"/>
      <c r="E530" s="9" t="str">
        <f>IF(C530="","",MAX(0,SUMIFS('CHIT REGISTER (ಮಾಸಿಕ ಚಿಟ್ ನೋಂದಣ'!$D$5:$D$502,'CHIT REGISTER (ಮಾಸಿಕ ಚಿಟ್ ನೋಂದಣ'!$F$5:$F$502,C530,'CHIT REGISTER (ಮಾಸಿಕ ಚಿಟ್ ನೋಂದಣ'!$G$5:$G$502,"UNPAID")-IF(F530="PAID",N(D530),0)))</f>
        <v/>
      </c>
      <c r="F530" s="3"/>
      <c r="G530" s="14"/>
      <c r="H530" s="1"/>
    </row>
    <row r="531" spans="1:8">
      <c r="A531" s="2"/>
      <c r="B531" s="12"/>
      <c r="C531" s="2"/>
      <c r="D531" s="13"/>
      <c r="E531" s="8" t="str">
        <f>IF(C531="","",MAX(0,SUMIFS('CHIT REGISTER (ಮಾಸಿಕ ಚಿಟ್ ನೋಂದಣ'!$D$5:$D$502,'CHIT REGISTER (ಮಾಸಿಕ ಚಿಟ್ ನೋಂದಣ'!$F$5:$F$502,C531,'CHIT REGISTER (ಮಾಸಿಕ ಚಿಟ್ ನೋಂದಣ'!$G$5:$G$502,"UNPAID")-IF(F531="PAID",N(D531),0)))</f>
        <v/>
      </c>
      <c r="F531" s="4"/>
      <c r="G531" s="12"/>
      <c r="H531" s="2"/>
    </row>
    <row r="532" spans="1:8">
      <c r="A532" s="1"/>
      <c r="B532" s="14"/>
      <c r="C532" s="1"/>
      <c r="D532" s="15"/>
      <c r="E532" s="9" t="str">
        <f>IF(C532="","",MAX(0,SUMIFS('CHIT REGISTER (ಮಾಸಿಕ ಚಿಟ್ ನೋಂದಣ'!$D$5:$D$502,'CHIT REGISTER (ಮಾಸಿಕ ಚಿಟ್ ನೋಂದಣ'!$F$5:$F$502,C532,'CHIT REGISTER (ಮಾಸಿಕ ಚಿಟ್ ನೋಂದಣ'!$G$5:$G$502,"UNPAID")-IF(F532="PAID",N(D532),0)))</f>
        <v/>
      </c>
      <c r="F532" s="3"/>
      <c r="G532" s="14"/>
      <c r="H532" s="1"/>
    </row>
    <row r="533" spans="1:8">
      <c r="A533" s="2"/>
      <c r="B533" s="12"/>
      <c r="C533" s="2"/>
      <c r="D533" s="13"/>
      <c r="E533" s="8" t="str">
        <f>IF(C533="","",MAX(0,SUMIFS('CHIT REGISTER (ಮಾಸಿಕ ಚಿಟ್ ನೋಂದಣ'!$D$5:$D$502,'CHIT REGISTER (ಮಾಸಿಕ ಚಿಟ್ ನೋಂದಣ'!$F$5:$F$502,C533,'CHIT REGISTER (ಮಾಸಿಕ ಚಿಟ್ ನೋಂದಣ'!$G$5:$G$502,"UNPAID")-IF(F533="PAID",N(D533),0)))</f>
        <v/>
      </c>
      <c r="F533" s="4"/>
      <c r="G533" s="12"/>
      <c r="H533" s="2"/>
    </row>
    <row r="534" spans="1:8">
      <c r="A534" s="1"/>
      <c r="B534" s="14"/>
      <c r="C534" s="1"/>
      <c r="D534" s="15"/>
      <c r="E534" s="9" t="str">
        <f>IF(C534="","",MAX(0,SUMIFS('CHIT REGISTER (ಮಾಸಿಕ ಚಿಟ್ ನೋಂದಣ'!$D$5:$D$502,'CHIT REGISTER (ಮಾಸಿಕ ಚಿಟ್ ನೋಂದಣ'!$F$5:$F$502,C534,'CHIT REGISTER (ಮಾಸಿಕ ಚಿಟ್ ನೋಂದಣ'!$G$5:$G$502,"UNPAID")-IF(F534="PAID",N(D534),0)))</f>
        <v/>
      </c>
      <c r="F534" s="3"/>
      <c r="G534" s="14"/>
      <c r="H534" s="1"/>
    </row>
    <row r="535" spans="1:8">
      <c r="A535" s="2"/>
      <c r="B535" s="12"/>
      <c r="C535" s="2"/>
      <c r="D535" s="13"/>
      <c r="E535" s="8" t="str">
        <f>IF(C535="","",MAX(0,SUMIFS('CHIT REGISTER (ಮಾಸಿಕ ಚಿಟ್ ನೋಂದಣ'!$D$5:$D$502,'CHIT REGISTER (ಮಾಸಿಕ ಚಿಟ್ ನೋಂದಣ'!$F$5:$F$502,C535,'CHIT REGISTER (ಮಾಸಿಕ ಚಿಟ್ ನೋಂದಣ'!$G$5:$G$502,"UNPAID")-IF(F535="PAID",N(D535),0)))</f>
        <v/>
      </c>
      <c r="F535" s="4"/>
      <c r="G535" s="12"/>
      <c r="H535" s="2"/>
    </row>
    <row r="536" spans="1:8">
      <c r="A536" s="1"/>
      <c r="B536" s="14"/>
      <c r="C536" s="1"/>
      <c r="D536" s="15"/>
      <c r="E536" s="9" t="str">
        <f>IF(C536="","",MAX(0,SUMIFS('CHIT REGISTER (ಮಾಸಿಕ ಚಿಟ್ ನೋಂದಣ'!$D$5:$D$502,'CHIT REGISTER (ಮಾಸಿಕ ಚಿಟ್ ನೋಂದಣ'!$F$5:$F$502,C536,'CHIT REGISTER (ಮಾಸಿಕ ಚಿಟ್ ನೋಂದಣ'!$G$5:$G$502,"UNPAID")-IF(F536="PAID",N(D536),0)))</f>
        <v/>
      </c>
      <c r="F536" s="3"/>
      <c r="G536" s="14"/>
      <c r="H536" s="1"/>
    </row>
    <row r="537" spans="1:8">
      <c r="A537" s="2"/>
      <c r="B537" s="12"/>
      <c r="C537" s="2"/>
      <c r="D537" s="13"/>
      <c r="E537" s="8" t="str">
        <f>IF(C537="","",MAX(0,SUMIFS('CHIT REGISTER (ಮಾಸಿಕ ಚಿಟ್ ನೋಂದಣ'!$D$5:$D$502,'CHIT REGISTER (ಮಾಸಿಕ ಚಿಟ್ ನೋಂದಣ'!$F$5:$F$502,C537,'CHIT REGISTER (ಮಾಸಿಕ ಚಿಟ್ ನೋಂದಣ'!$G$5:$G$502,"UNPAID")-IF(F537="PAID",N(D537),0)))</f>
        <v/>
      </c>
      <c r="F537" s="4"/>
      <c r="G537" s="12"/>
      <c r="H537" s="2"/>
    </row>
    <row r="538" spans="1:8">
      <c r="A538" s="1"/>
      <c r="B538" s="14"/>
      <c r="C538" s="1"/>
      <c r="D538" s="15"/>
      <c r="E538" s="9" t="str">
        <f>IF(C538="","",MAX(0,SUMIFS('CHIT REGISTER (ಮಾಸಿಕ ಚಿಟ್ ನೋಂದಣ'!$D$5:$D$502,'CHIT REGISTER (ಮಾಸಿಕ ಚಿಟ್ ನೋಂದಣ'!$F$5:$F$502,C538,'CHIT REGISTER (ಮಾಸಿಕ ಚಿಟ್ ನೋಂದಣ'!$G$5:$G$502,"UNPAID")-IF(F538="PAID",N(D538),0)))</f>
        <v/>
      </c>
      <c r="F538" s="3"/>
      <c r="G538" s="14"/>
      <c r="H538" s="1"/>
    </row>
    <row r="539" spans="1:8">
      <c r="A539" s="2"/>
      <c r="B539" s="12"/>
      <c r="C539" s="2"/>
      <c r="D539" s="13"/>
      <c r="E539" s="8" t="str">
        <f>IF(C539="","",MAX(0,SUMIFS('CHIT REGISTER (ಮಾಸಿಕ ಚಿಟ್ ನೋಂದಣ'!$D$5:$D$502,'CHIT REGISTER (ಮಾಸಿಕ ಚಿಟ್ ನೋಂದಣ'!$F$5:$F$502,C539,'CHIT REGISTER (ಮಾಸಿಕ ಚಿಟ್ ನೋಂದಣ'!$G$5:$G$502,"UNPAID")-IF(F539="PAID",N(D539),0)))</f>
        <v/>
      </c>
      <c r="F539" s="4"/>
      <c r="G539" s="12"/>
      <c r="H539" s="2"/>
    </row>
    <row r="540" spans="1:8">
      <c r="A540" s="1"/>
      <c r="B540" s="14"/>
      <c r="C540" s="1"/>
      <c r="D540" s="15"/>
      <c r="E540" s="9" t="str">
        <f>IF(C540="","",MAX(0,SUMIFS('CHIT REGISTER (ಮಾಸಿಕ ಚಿಟ್ ನೋಂದಣ'!$D$5:$D$502,'CHIT REGISTER (ಮಾಸಿಕ ಚಿಟ್ ನೋಂದಣ'!$F$5:$F$502,C540,'CHIT REGISTER (ಮಾಸಿಕ ಚಿಟ್ ನೋಂದಣ'!$G$5:$G$502,"UNPAID")-IF(F540="PAID",N(D540),0)))</f>
        <v/>
      </c>
      <c r="F540" s="3"/>
      <c r="G540" s="14"/>
      <c r="H540" s="1"/>
    </row>
    <row r="541" spans="1:8">
      <c r="A541" s="2"/>
      <c r="B541" s="12"/>
      <c r="C541" s="2"/>
      <c r="D541" s="13"/>
      <c r="E541" s="8" t="str">
        <f>IF(C541="","",MAX(0,SUMIFS('CHIT REGISTER (ಮಾಸಿಕ ಚಿಟ್ ನೋಂದಣ'!$D$5:$D$502,'CHIT REGISTER (ಮಾಸಿಕ ಚಿಟ್ ನೋಂದಣ'!$F$5:$F$502,C541,'CHIT REGISTER (ಮಾಸಿಕ ಚಿಟ್ ನೋಂದಣ'!$G$5:$G$502,"UNPAID")-IF(F541="PAID",N(D541),0)))</f>
        <v/>
      </c>
      <c r="F541" s="4"/>
      <c r="G541" s="12"/>
      <c r="H541" s="2"/>
    </row>
    <row r="542" spans="1:8">
      <c r="A542" s="1"/>
      <c r="B542" s="14"/>
      <c r="C542" s="1"/>
      <c r="D542" s="15"/>
      <c r="E542" s="9" t="str">
        <f>IF(C542="","",MAX(0,SUMIFS('CHIT REGISTER (ಮಾಸಿಕ ಚಿಟ್ ನೋಂದಣ'!$D$5:$D$502,'CHIT REGISTER (ಮಾಸಿಕ ಚಿಟ್ ನೋಂದಣ'!$F$5:$F$502,C542,'CHIT REGISTER (ಮಾಸಿಕ ಚಿಟ್ ನೋಂದಣ'!$G$5:$G$502,"UNPAID")-IF(F542="PAID",N(D542),0)))</f>
        <v/>
      </c>
      <c r="F542" s="3"/>
      <c r="G542" s="14"/>
      <c r="H542" s="1"/>
    </row>
    <row r="543" spans="1:8">
      <c r="A543" s="2"/>
      <c r="B543" s="12"/>
      <c r="C543" s="2"/>
      <c r="D543" s="13"/>
      <c r="E543" s="8" t="str">
        <f>IF(C543="","",MAX(0,SUMIFS('CHIT REGISTER (ಮಾಸಿಕ ಚಿಟ್ ನೋಂದಣ'!$D$5:$D$502,'CHIT REGISTER (ಮಾಸಿಕ ಚಿಟ್ ನೋಂದಣ'!$F$5:$F$502,C543,'CHIT REGISTER (ಮಾಸಿಕ ಚಿಟ್ ನೋಂದಣ'!$G$5:$G$502,"UNPAID")-IF(F543="PAID",N(D543),0)))</f>
        <v/>
      </c>
      <c r="F543" s="4"/>
      <c r="G543" s="12"/>
      <c r="H543" s="2"/>
    </row>
    <row r="544" spans="1:8">
      <c r="A544" s="1"/>
      <c r="B544" s="14"/>
      <c r="C544" s="1"/>
      <c r="D544" s="15"/>
      <c r="E544" s="9" t="str">
        <f>IF(C544="","",MAX(0,SUMIFS('CHIT REGISTER (ಮಾಸಿಕ ಚಿಟ್ ನೋಂದಣ'!$D$5:$D$502,'CHIT REGISTER (ಮಾಸಿಕ ಚಿಟ್ ನೋಂದಣ'!$F$5:$F$502,C544,'CHIT REGISTER (ಮಾಸಿಕ ಚಿಟ್ ನೋಂದಣ'!$G$5:$G$502,"UNPAID")-IF(F544="PAID",N(D544),0)))</f>
        <v/>
      </c>
      <c r="F544" s="3"/>
      <c r="G544" s="14"/>
      <c r="H544" s="1"/>
    </row>
    <row r="545" spans="1:8">
      <c r="A545" s="2"/>
      <c r="B545" s="12"/>
      <c r="C545" s="2"/>
      <c r="D545" s="13"/>
      <c r="E545" s="8" t="str">
        <f>IF(C545="","",MAX(0,SUMIFS('CHIT REGISTER (ಮಾಸಿಕ ಚಿಟ್ ನೋಂದಣ'!$D$5:$D$502,'CHIT REGISTER (ಮಾಸಿಕ ಚಿಟ್ ನೋಂದಣ'!$F$5:$F$502,C545,'CHIT REGISTER (ಮಾಸಿಕ ಚಿಟ್ ನೋಂದಣ'!$G$5:$G$502,"UNPAID")-IF(F545="PAID",N(D545),0)))</f>
        <v/>
      </c>
      <c r="F545" s="4"/>
      <c r="G545" s="12"/>
      <c r="H545" s="2"/>
    </row>
    <row r="546" spans="1:8">
      <c r="A546" s="1"/>
      <c r="B546" s="14"/>
      <c r="C546" s="1"/>
      <c r="D546" s="15"/>
      <c r="E546" s="9" t="str">
        <f>IF(C546="","",MAX(0,SUMIFS('CHIT REGISTER (ಮಾಸಿಕ ಚಿಟ್ ನೋಂದಣ'!$D$5:$D$502,'CHIT REGISTER (ಮಾಸಿಕ ಚಿಟ್ ನೋಂದಣ'!$F$5:$F$502,C546,'CHIT REGISTER (ಮಾಸಿಕ ಚಿಟ್ ನೋಂದಣ'!$G$5:$G$502,"UNPAID")-IF(F546="PAID",N(D546),0)))</f>
        <v/>
      </c>
      <c r="F546" s="3"/>
      <c r="G546" s="14"/>
      <c r="H546" s="1"/>
    </row>
    <row r="547" spans="1:8">
      <c r="A547" s="2"/>
      <c r="B547" s="12"/>
      <c r="C547" s="2"/>
      <c r="D547" s="13"/>
      <c r="E547" s="8" t="str">
        <f>IF(C547="","",MAX(0,SUMIFS('CHIT REGISTER (ಮಾಸಿಕ ಚಿಟ್ ನೋಂದಣ'!$D$5:$D$502,'CHIT REGISTER (ಮಾಸಿಕ ಚಿಟ್ ನೋಂದಣ'!$F$5:$F$502,C547,'CHIT REGISTER (ಮಾಸಿಕ ಚಿಟ್ ನೋಂದಣ'!$G$5:$G$502,"UNPAID")-IF(F547="PAID",N(D547),0)))</f>
        <v/>
      </c>
      <c r="F547" s="4"/>
      <c r="G547" s="12"/>
      <c r="H547" s="2"/>
    </row>
    <row r="548" spans="1:8">
      <c r="A548" s="1"/>
      <c r="B548" s="14"/>
      <c r="C548" s="1"/>
      <c r="D548" s="15"/>
      <c r="E548" s="9" t="str">
        <f>IF(C548="","",MAX(0,SUMIFS('CHIT REGISTER (ಮಾಸಿಕ ಚಿಟ್ ನೋಂದಣ'!$D$5:$D$502,'CHIT REGISTER (ಮಾಸಿಕ ಚಿಟ್ ನೋಂದಣ'!$F$5:$F$502,C548,'CHIT REGISTER (ಮಾಸಿಕ ಚಿಟ್ ನೋಂದಣ'!$G$5:$G$502,"UNPAID")-IF(F548="PAID",N(D548),0)))</f>
        <v/>
      </c>
      <c r="F548" s="3"/>
      <c r="G548" s="14"/>
      <c r="H548" s="1"/>
    </row>
    <row r="549" spans="1:8">
      <c r="A549" s="2"/>
      <c r="B549" s="12"/>
      <c r="C549" s="2"/>
      <c r="D549" s="13"/>
      <c r="E549" s="8" t="str">
        <f>IF(C549="","",MAX(0,SUMIFS('CHIT REGISTER (ಮಾಸಿಕ ಚಿಟ್ ನೋಂದಣ'!$D$5:$D$502,'CHIT REGISTER (ಮಾಸಿಕ ಚಿಟ್ ನೋಂದಣ'!$F$5:$F$502,C549,'CHIT REGISTER (ಮಾಸಿಕ ಚಿಟ್ ನೋಂದಣ'!$G$5:$G$502,"UNPAID")-IF(F549="PAID",N(D549),0)))</f>
        <v/>
      </c>
      <c r="F549" s="4"/>
      <c r="G549" s="12"/>
      <c r="H549" s="2"/>
    </row>
    <row r="550" spans="1:8">
      <c r="A550" s="1"/>
      <c r="B550" s="14"/>
      <c r="C550" s="1"/>
      <c r="D550" s="15"/>
      <c r="E550" s="9" t="str">
        <f>IF(C550="","",MAX(0,SUMIFS('CHIT REGISTER (ಮಾಸಿಕ ಚಿಟ್ ನೋಂದಣ'!$D$5:$D$502,'CHIT REGISTER (ಮಾಸಿಕ ಚಿಟ್ ನೋಂದಣ'!$F$5:$F$502,C550,'CHIT REGISTER (ಮಾಸಿಕ ಚಿಟ್ ನೋಂದಣ'!$G$5:$G$502,"UNPAID")-IF(F550="PAID",N(D550),0)))</f>
        <v/>
      </c>
      <c r="F550" s="3"/>
      <c r="G550" s="14"/>
      <c r="H550" s="1"/>
    </row>
    <row r="551" spans="1:8">
      <c r="A551" s="2"/>
      <c r="B551" s="12"/>
      <c r="C551" s="2"/>
      <c r="D551" s="13"/>
      <c r="E551" s="8" t="str">
        <f>IF(C551="","",MAX(0,SUMIFS('CHIT REGISTER (ಮಾಸಿಕ ಚಿಟ್ ನೋಂದಣ'!$D$5:$D$502,'CHIT REGISTER (ಮಾಸಿಕ ಚಿಟ್ ನೋಂದಣ'!$F$5:$F$502,C551,'CHIT REGISTER (ಮಾಸಿಕ ಚಿಟ್ ನೋಂದಣ'!$G$5:$G$502,"UNPAID")-IF(F551="PAID",N(D551),0)))</f>
        <v/>
      </c>
      <c r="F551" s="4"/>
      <c r="G551" s="12"/>
      <c r="H551" s="2"/>
    </row>
    <row r="552" spans="1:8">
      <c r="A552" s="1"/>
      <c r="B552" s="14"/>
      <c r="C552" s="1"/>
      <c r="D552" s="15"/>
      <c r="E552" s="9" t="str">
        <f>IF(C552="","",MAX(0,SUMIFS('CHIT REGISTER (ಮಾಸಿಕ ಚಿಟ್ ನೋಂದಣ'!$D$5:$D$502,'CHIT REGISTER (ಮಾಸಿಕ ಚಿಟ್ ನೋಂದಣ'!$F$5:$F$502,C552,'CHIT REGISTER (ಮಾಸಿಕ ಚಿಟ್ ನೋಂದಣ'!$G$5:$G$502,"UNPAID")-IF(F552="PAID",N(D552),0)))</f>
        <v/>
      </c>
      <c r="F552" s="3"/>
      <c r="G552" s="14"/>
      <c r="H552" s="1"/>
    </row>
    <row r="553" spans="1:8">
      <c r="A553" s="2"/>
      <c r="B553" s="12"/>
      <c r="C553" s="2"/>
      <c r="D553" s="13"/>
      <c r="E553" s="8" t="str">
        <f>IF(C553="","",MAX(0,SUMIFS('CHIT REGISTER (ಮಾಸಿಕ ಚಿಟ್ ನೋಂದಣ'!$D$5:$D$502,'CHIT REGISTER (ಮಾಸಿಕ ಚಿಟ್ ನೋಂದಣ'!$F$5:$F$502,C553,'CHIT REGISTER (ಮಾಸಿಕ ಚಿಟ್ ನೋಂದಣ'!$G$5:$G$502,"UNPAID")-IF(F553="PAID",N(D553),0)))</f>
        <v/>
      </c>
      <c r="F553" s="4"/>
      <c r="G553" s="12"/>
      <c r="H553" s="2"/>
    </row>
    <row r="554" spans="1:8">
      <c r="A554" s="1"/>
      <c r="B554" s="14"/>
      <c r="C554" s="1"/>
      <c r="D554" s="15"/>
      <c r="E554" s="9" t="str">
        <f>IF(C554="","",MAX(0,SUMIFS('CHIT REGISTER (ಮಾಸಿಕ ಚಿಟ್ ನೋಂದಣ'!$D$5:$D$502,'CHIT REGISTER (ಮಾಸಿಕ ಚಿಟ್ ನೋಂದಣ'!$F$5:$F$502,C554,'CHIT REGISTER (ಮಾಸಿಕ ಚಿಟ್ ನೋಂದಣ'!$G$5:$G$502,"UNPAID")-IF(F554="PAID",N(D554),0)))</f>
        <v/>
      </c>
      <c r="F554" s="3"/>
      <c r="G554" s="14"/>
      <c r="H554" s="1"/>
    </row>
    <row r="555" spans="1:8">
      <c r="A555" s="2"/>
      <c r="B555" s="12"/>
      <c r="C555" s="2"/>
      <c r="D555" s="13"/>
      <c r="E555" s="8" t="str">
        <f>IF(C555="","",MAX(0,SUMIFS('CHIT REGISTER (ಮಾಸಿಕ ಚಿಟ್ ನೋಂದಣ'!$D$5:$D$502,'CHIT REGISTER (ಮಾಸಿಕ ಚಿಟ್ ನೋಂದಣ'!$F$5:$F$502,C555,'CHIT REGISTER (ಮಾಸಿಕ ಚಿಟ್ ನೋಂದಣ'!$G$5:$G$502,"UNPAID")-IF(F555="PAID",N(D555),0)))</f>
        <v/>
      </c>
      <c r="F555" s="4"/>
      <c r="G555" s="12"/>
      <c r="H555" s="2"/>
    </row>
    <row r="556" spans="1:8">
      <c r="A556" s="1"/>
      <c r="B556" s="14"/>
      <c r="C556" s="1"/>
      <c r="D556" s="15"/>
      <c r="E556" s="9" t="str">
        <f>IF(C556="","",MAX(0,SUMIFS('CHIT REGISTER (ಮಾಸಿಕ ಚಿಟ್ ನೋಂದಣ'!$D$5:$D$502,'CHIT REGISTER (ಮಾಸಿಕ ಚಿಟ್ ನೋಂದಣ'!$F$5:$F$502,C556,'CHIT REGISTER (ಮಾಸಿಕ ಚಿಟ್ ನೋಂದಣ'!$G$5:$G$502,"UNPAID")-IF(F556="PAID",N(D556),0)))</f>
        <v/>
      </c>
      <c r="F556" s="3"/>
      <c r="G556" s="14"/>
      <c r="H556" s="1"/>
    </row>
    <row r="557" spans="1:8">
      <c r="A557" s="2"/>
      <c r="B557" s="12"/>
      <c r="C557" s="2"/>
      <c r="D557" s="13"/>
      <c r="E557" s="8" t="str">
        <f>IF(C557="","",MAX(0,SUMIFS('CHIT REGISTER (ಮಾಸಿಕ ಚಿಟ್ ನೋಂದಣ'!$D$5:$D$502,'CHIT REGISTER (ಮಾಸಿಕ ಚಿಟ್ ನೋಂದಣ'!$F$5:$F$502,C557,'CHIT REGISTER (ಮಾಸಿಕ ಚಿಟ್ ನೋಂದಣ'!$G$5:$G$502,"UNPAID")-IF(F557="PAID",N(D557),0)))</f>
        <v/>
      </c>
      <c r="F557" s="4"/>
      <c r="G557" s="12"/>
      <c r="H557" s="2"/>
    </row>
    <row r="558" spans="1:8">
      <c r="A558" s="1"/>
      <c r="B558" s="14"/>
      <c r="C558" s="1"/>
      <c r="D558" s="15"/>
      <c r="E558" s="9" t="str">
        <f>IF(C558="","",MAX(0,SUMIFS('CHIT REGISTER (ಮಾಸಿಕ ಚಿಟ್ ನೋಂದಣ'!$D$5:$D$502,'CHIT REGISTER (ಮಾಸಿಕ ಚಿಟ್ ನೋಂದಣ'!$F$5:$F$502,C558,'CHIT REGISTER (ಮಾಸಿಕ ಚಿಟ್ ನೋಂದಣ'!$G$5:$G$502,"UNPAID")-IF(F558="PAID",N(D558),0)))</f>
        <v/>
      </c>
      <c r="F558" s="3"/>
      <c r="G558" s="14"/>
      <c r="H558" s="1"/>
    </row>
    <row r="559" spans="1:8">
      <c r="A559" s="2"/>
      <c r="B559" s="12"/>
      <c r="C559" s="2"/>
      <c r="D559" s="13"/>
      <c r="E559" s="8" t="str">
        <f>IF(C559="","",MAX(0,SUMIFS('CHIT REGISTER (ಮಾಸಿಕ ಚಿಟ್ ನೋಂದಣ'!$D$5:$D$502,'CHIT REGISTER (ಮಾಸಿಕ ಚಿಟ್ ನೋಂದಣ'!$F$5:$F$502,C559,'CHIT REGISTER (ಮಾಸಿಕ ಚಿಟ್ ನೋಂದಣ'!$G$5:$G$502,"UNPAID")-IF(F559="PAID",N(D559),0)))</f>
        <v/>
      </c>
      <c r="F559" s="4"/>
      <c r="G559" s="12"/>
      <c r="H559" s="2"/>
    </row>
    <row r="560" spans="1:8">
      <c r="A560" s="1"/>
      <c r="B560" s="14"/>
      <c r="C560" s="1"/>
      <c r="D560" s="15"/>
      <c r="E560" s="9" t="str">
        <f>IF(C560="","",MAX(0,SUMIFS('CHIT REGISTER (ಮಾಸಿಕ ಚಿಟ್ ನೋಂದಣ'!$D$5:$D$502,'CHIT REGISTER (ಮಾಸಿಕ ಚಿಟ್ ನೋಂದಣ'!$F$5:$F$502,C560,'CHIT REGISTER (ಮಾಸಿಕ ಚಿಟ್ ನೋಂದಣ'!$G$5:$G$502,"UNPAID")-IF(F560="PAID",N(D560),0)))</f>
        <v/>
      </c>
      <c r="F560" s="3"/>
      <c r="G560" s="14"/>
      <c r="H560" s="1"/>
    </row>
    <row r="561" spans="1:8">
      <c r="A561" s="2"/>
      <c r="B561" s="12"/>
      <c r="C561" s="2"/>
      <c r="D561" s="13"/>
      <c r="E561" s="8" t="str">
        <f>IF(C561="","",MAX(0,SUMIFS('CHIT REGISTER (ಮಾಸಿಕ ಚಿಟ್ ನೋಂದಣ'!$D$5:$D$502,'CHIT REGISTER (ಮಾಸಿಕ ಚಿಟ್ ನೋಂದಣ'!$F$5:$F$502,C561,'CHIT REGISTER (ಮಾಸಿಕ ಚಿಟ್ ನೋಂದಣ'!$G$5:$G$502,"UNPAID")-IF(F561="PAID",N(D561),0)))</f>
        <v/>
      </c>
      <c r="F561" s="4"/>
      <c r="G561" s="12"/>
      <c r="H561" s="2"/>
    </row>
    <row r="562" spans="1:8">
      <c r="A562" s="1"/>
      <c r="B562" s="14"/>
      <c r="C562" s="1"/>
      <c r="D562" s="15"/>
      <c r="E562" s="9" t="str">
        <f>IF(C562="","",MAX(0,SUMIFS('CHIT REGISTER (ಮಾಸಿಕ ಚಿಟ್ ನೋಂದಣ'!$D$5:$D$502,'CHIT REGISTER (ಮಾಸಿಕ ಚಿಟ್ ನೋಂದಣ'!$F$5:$F$502,C562,'CHIT REGISTER (ಮಾಸಿಕ ಚಿಟ್ ನೋಂದಣ'!$G$5:$G$502,"UNPAID")-IF(F562="PAID",N(D562),0)))</f>
        <v/>
      </c>
      <c r="F562" s="3"/>
      <c r="G562" s="14"/>
      <c r="H562" s="1"/>
    </row>
    <row r="563" spans="1:8">
      <c r="A563" s="2"/>
      <c r="B563" s="12"/>
      <c r="C563" s="2"/>
      <c r="D563" s="13"/>
      <c r="E563" s="8" t="str">
        <f>IF(C563="","",MAX(0,SUMIFS('CHIT REGISTER (ಮಾಸಿಕ ಚಿಟ್ ನೋಂದಣ'!$D$5:$D$502,'CHIT REGISTER (ಮಾಸಿಕ ಚಿಟ್ ನೋಂದಣ'!$F$5:$F$502,C563,'CHIT REGISTER (ಮಾಸಿಕ ಚಿಟ್ ನೋಂದಣ'!$G$5:$G$502,"UNPAID")-IF(F563="PAID",N(D563),0)))</f>
        <v/>
      </c>
      <c r="F563" s="4"/>
      <c r="G563" s="12"/>
      <c r="H563" s="2"/>
    </row>
    <row r="564" spans="1:8">
      <c r="A564" s="1"/>
      <c r="B564" s="14"/>
      <c r="C564" s="1"/>
      <c r="D564" s="15"/>
      <c r="E564" s="9" t="str">
        <f>IF(C564="","",MAX(0,SUMIFS('CHIT REGISTER (ಮಾಸಿಕ ಚಿಟ್ ನೋಂದಣ'!$D$5:$D$502,'CHIT REGISTER (ಮಾಸಿಕ ಚಿಟ್ ನೋಂದಣ'!$F$5:$F$502,C564,'CHIT REGISTER (ಮಾಸಿಕ ಚಿಟ್ ನೋಂದಣ'!$G$5:$G$502,"UNPAID")-IF(F564="PAID",N(D564),0)))</f>
        <v/>
      </c>
      <c r="F564" s="3"/>
      <c r="G564" s="14"/>
      <c r="H564" s="1"/>
    </row>
    <row r="565" spans="1:8">
      <c r="A565" s="2"/>
      <c r="B565" s="12"/>
      <c r="C565" s="2"/>
      <c r="D565" s="13"/>
      <c r="E565" s="8" t="str">
        <f>IF(C565="","",MAX(0,SUMIFS('CHIT REGISTER (ಮಾಸಿಕ ಚಿಟ್ ನೋಂದಣ'!$D$5:$D$502,'CHIT REGISTER (ಮಾಸಿಕ ಚಿಟ್ ನೋಂದಣ'!$F$5:$F$502,C565,'CHIT REGISTER (ಮಾಸಿಕ ಚಿಟ್ ನೋಂದಣ'!$G$5:$G$502,"UNPAID")-IF(F565="PAID",N(D565),0)))</f>
        <v/>
      </c>
      <c r="F565" s="4"/>
      <c r="G565" s="12"/>
      <c r="H565" s="2"/>
    </row>
    <row r="566" spans="1:8">
      <c r="A566" s="1"/>
      <c r="B566" s="14"/>
      <c r="C566" s="1"/>
      <c r="D566" s="15"/>
      <c r="E566" s="9" t="str">
        <f>IF(C566="","",MAX(0,SUMIFS('CHIT REGISTER (ಮಾಸಿಕ ಚಿಟ್ ನೋಂದಣ'!$D$5:$D$502,'CHIT REGISTER (ಮಾಸಿಕ ಚಿಟ್ ನೋಂದಣ'!$F$5:$F$502,C566,'CHIT REGISTER (ಮಾಸಿಕ ಚಿಟ್ ನೋಂದಣ'!$G$5:$G$502,"UNPAID")-IF(F566="PAID",N(D566),0)))</f>
        <v/>
      </c>
      <c r="F566" s="3"/>
      <c r="G566" s="14"/>
      <c r="H566" s="1"/>
    </row>
    <row r="567" spans="1:8">
      <c r="A567" s="2"/>
      <c r="B567" s="12"/>
      <c r="C567" s="2"/>
      <c r="D567" s="13"/>
      <c r="E567" s="8" t="str">
        <f>IF(C567="","",MAX(0,SUMIFS('CHIT REGISTER (ಮಾಸಿಕ ಚಿಟ್ ನೋಂದಣ'!$D$5:$D$502,'CHIT REGISTER (ಮಾಸಿಕ ಚಿಟ್ ನೋಂದಣ'!$F$5:$F$502,C567,'CHIT REGISTER (ಮಾಸಿಕ ಚಿಟ್ ನೋಂದಣ'!$G$5:$G$502,"UNPAID")-IF(F567="PAID",N(D567),0)))</f>
        <v/>
      </c>
      <c r="F567" s="4"/>
      <c r="G567" s="12"/>
      <c r="H567" s="2"/>
    </row>
    <row r="568" spans="1:8">
      <c r="A568" s="1"/>
      <c r="B568" s="14"/>
      <c r="C568" s="1"/>
      <c r="D568" s="15"/>
      <c r="E568" s="9" t="str">
        <f>IF(C568="","",MAX(0,SUMIFS('CHIT REGISTER (ಮಾಸಿಕ ಚಿಟ್ ನೋಂದಣ'!$D$5:$D$502,'CHIT REGISTER (ಮಾಸಿಕ ಚಿಟ್ ನೋಂದಣ'!$F$5:$F$502,C568,'CHIT REGISTER (ಮಾಸಿಕ ಚಿಟ್ ನೋಂದಣ'!$G$5:$G$502,"UNPAID")-IF(F568="PAID",N(D568),0)))</f>
        <v/>
      </c>
      <c r="F568" s="3"/>
      <c r="G568" s="14"/>
      <c r="H568" s="1"/>
    </row>
    <row r="569" spans="1:8">
      <c r="A569" s="2"/>
      <c r="B569" s="12"/>
      <c r="C569" s="2"/>
      <c r="D569" s="13"/>
      <c r="E569" s="8" t="str">
        <f>IF(C569="","",MAX(0,SUMIFS('CHIT REGISTER (ಮಾಸಿಕ ಚಿಟ್ ನೋಂದಣ'!$D$5:$D$502,'CHIT REGISTER (ಮಾಸಿಕ ಚಿಟ್ ನೋಂದಣ'!$F$5:$F$502,C569,'CHIT REGISTER (ಮಾಸಿಕ ಚಿಟ್ ನೋಂದಣ'!$G$5:$G$502,"UNPAID")-IF(F569="PAID",N(D569),0)))</f>
        <v/>
      </c>
      <c r="F569" s="4"/>
      <c r="G569" s="12"/>
      <c r="H569" s="2"/>
    </row>
    <row r="570" spans="1:8">
      <c r="A570" s="1"/>
      <c r="B570" s="14"/>
      <c r="C570" s="1"/>
      <c r="D570" s="15"/>
      <c r="E570" s="9" t="str">
        <f>IF(C570="","",MAX(0,SUMIFS('CHIT REGISTER (ಮಾಸಿಕ ಚಿಟ್ ನೋಂದಣ'!$D$5:$D$502,'CHIT REGISTER (ಮಾಸಿಕ ಚಿಟ್ ನೋಂದಣ'!$F$5:$F$502,C570,'CHIT REGISTER (ಮಾಸಿಕ ಚಿಟ್ ನೋಂದಣ'!$G$5:$G$502,"UNPAID")-IF(F570="PAID",N(D570),0)))</f>
        <v/>
      </c>
      <c r="F570" s="3"/>
      <c r="G570" s="14"/>
      <c r="H570" s="1"/>
    </row>
    <row r="571" spans="1:8">
      <c r="A571" s="2"/>
      <c r="B571" s="12"/>
      <c r="C571" s="2"/>
      <c r="D571" s="13"/>
      <c r="E571" s="8" t="str">
        <f>IF(C571="","",MAX(0,SUMIFS('CHIT REGISTER (ಮಾಸಿಕ ಚಿಟ್ ನೋಂದಣ'!$D$5:$D$502,'CHIT REGISTER (ಮಾಸಿಕ ಚಿಟ್ ನೋಂದಣ'!$F$5:$F$502,C571,'CHIT REGISTER (ಮಾಸಿಕ ಚಿಟ್ ನೋಂದಣ'!$G$5:$G$502,"UNPAID")-IF(F571="PAID",N(D571),0)))</f>
        <v/>
      </c>
      <c r="F571" s="4"/>
      <c r="G571" s="12"/>
      <c r="H571" s="2"/>
    </row>
    <row r="572" spans="1:8">
      <c r="A572" s="1"/>
      <c r="B572" s="14"/>
      <c r="C572" s="1"/>
      <c r="D572" s="15"/>
      <c r="E572" s="9" t="str">
        <f>IF(C572="","",MAX(0,SUMIFS('CHIT REGISTER (ಮಾಸಿಕ ಚಿಟ್ ನೋಂದಣ'!$D$5:$D$502,'CHIT REGISTER (ಮಾಸಿಕ ಚಿಟ್ ನೋಂದಣ'!$F$5:$F$502,C572,'CHIT REGISTER (ಮಾಸಿಕ ಚಿಟ್ ನೋಂದಣ'!$G$5:$G$502,"UNPAID")-IF(F572="PAID",N(D572),0)))</f>
        <v/>
      </c>
      <c r="F572" s="3"/>
      <c r="G572" s="14"/>
      <c r="H572" s="1"/>
    </row>
    <row r="573" spans="1:8">
      <c r="A573" s="2"/>
      <c r="B573" s="12"/>
      <c r="C573" s="2"/>
      <c r="D573" s="13"/>
      <c r="E573" s="8" t="str">
        <f>IF(C573="","",MAX(0,SUMIFS('CHIT REGISTER (ಮಾಸಿಕ ಚಿಟ್ ನೋಂದಣ'!$D$5:$D$502,'CHIT REGISTER (ಮಾಸಿಕ ಚಿಟ್ ನೋಂದಣ'!$F$5:$F$502,C573,'CHIT REGISTER (ಮಾಸಿಕ ಚಿಟ್ ನೋಂದಣ'!$G$5:$G$502,"UNPAID")-IF(F573="PAID",N(D573),0)))</f>
        <v/>
      </c>
      <c r="F573" s="4"/>
      <c r="G573" s="12"/>
      <c r="H573" s="2"/>
    </row>
    <row r="574" spans="1:8">
      <c r="A574" s="1"/>
      <c r="B574" s="14"/>
      <c r="C574" s="1"/>
      <c r="D574" s="15"/>
      <c r="E574" s="9" t="str">
        <f>IF(C574="","",MAX(0,SUMIFS('CHIT REGISTER (ಮಾಸಿಕ ಚಿಟ್ ನೋಂದಣ'!$D$5:$D$502,'CHIT REGISTER (ಮಾಸಿಕ ಚಿಟ್ ನೋಂದಣ'!$F$5:$F$502,C574,'CHIT REGISTER (ಮಾಸಿಕ ಚಿಟ್ ನೋಂದಣ'!$G$5:$G$502,"UNPAID")-IF(F574="PAID",N(D574),0)))</f>
        <v/>
      </c>
      <c r="F574" s="3"/>
      <c r="G574" s="14"/>
      <c r="H574" s="1"/>
    </row>
    <row r="575" spans="1:8">
      <c r="A575" s="2"/>
      <c r="B575" s="12"/>
      <c r="C575" s="2"/>
      <c r="D575" s="13"/>
      <c r="E575" s="8" t="str">
        <f>IF(C575="","",MAX(0,SUMIFS('CHIT REGISTER (ಮಾಸಿಕ ಚಿಟ್ ನೋಂದಣ'!$D$5:$D$502,'CHIT REGISTER (ಮಾಸಿಕ ಚಿಟ್ ನೋಂದಣ'!$F$5:$F$502,C575,'CHIT REGISTER (ಮಾಸಿಕ ಚಿಟ್ ನೋಂದಣ'!$G$5:$G$502,"UNPAID")-IF(F575="PAID",N(D575),0)))</f>
        <v/>
      </c>
      <c r="F575" s="4"/>
      <c r="G575" s="12"/>
      <c r="H575" s="2"/>
    </row>
    <row r="576" spans="1:8">
      <c r="A576" s="1"/>
      <c r="B576" s="14"/>
      <c r="C576" s="1"/>
      <c r="D576" s="15"/>
      <c r="E576" s="9" t="str">
        <f>IF(C576="","",MAX(0,SUMIFS('CHIT REGISTER (ಮಾಸಿಕ ಚಿಟ್ ನೋಂದಣ'!$D$5:$D$502,'CHIT REGISTER (ಮಾಸಿಕ ಚಿಟ್ ನೋಂದಣ'!$F$5:$F$502,C576,'CHIT REGISTER (ಮಾಸಿಕ ಚಿಟ್ ನೋಂದಣ'!$G$5:$G$502,"UNPAID")-IF(F576="PAID",N(D576),0)))</f>
        <v/>
      </c>
      <c r="F576" s="3"/>
      <c r="G576" s="14"/>
      <c r="H576" s="1"/>
    </row>
    <row r="577" spans="1:8">
      <c r="A577" s="2"/>
      <c r="B577" s="12"/>
      <c r="C577" s="2"/>
      <c r="D577" s="13"/>
      <c r="E577" s="8" t="str">
        <f>IF(C577="","",MAX(0,SUMIFS('CHIT REGISTER (ಮಾಸಿಕ ಚಿಟ್ ನೋಂದಣ'!$D$5:$D$502,'CHIT REGISTER (ಮಾಸಿಕ ಚಿಟ್ ನೋಂದಣ'!$F$5:$F$502,C577,'CHIT REGISTER (ಮಾಸಿಕ ಚಿಟ್ ನೋಂದಣ'!$G$5:$G$502,"UNPAID")-IF(F577="PAID",N(D577),0)))</f>
        <v/>
      </c>
      <c r="F577" s="4"/>
      <c r="G577" s="12"/>
      <c r="H577" s="2"/>
    </row>
    <row r="578" spans="1:8">
      <c r="A578" s="1"/>
      <c r="B578" s="14"/>
      <c r="C578" s="1"/>
      <c r="D578" s="15"/>
      <c r="E578" s="9" t="str">
        <f>IF(C578="","",MAX(0,SUMIFS('CHIT REGISTER (ಮಾಸಿಕ ಚಿಟ್ ನೋಂದಣ'!$D$5:$D$502,'CHIT REGISTER (ಮಾಸಿಕ ಚಿಟ್ ನೋಂದಣ'!$F$5:$F$502,C578,'CHIT REGISTER (ಮಾಸಿಕ ಚಿಟ್ ನೋಂದಣ'!$G$5:$G$502,"UNPAID")-IF(F578="PAID",N(D578),0)))</f>
        <v/>
      </c>
      <c r="F578" s="3"/>
      <c r="G578" s="14"/>
      <c r="H578" s="1"/>
    </row>
    <row r="579" spans="1:8">
      <c r="A579" s="2"/>
      <c r="B579" s="12"/>
      <c r="C579" s="2"/>
      <c r="D579" s="13"/>
      <c r="E579" s="8" t="str">
        <f>IF(C579="","",MAX(0,SUMIFS('CHIT REGISTER (ಮಾಸಿಕ ಚಿಟ್ ನೋಂದಣ'!$D$5:$D$502,'CHIT REGISTER (ಮಾಸಿಕ ಚಿಟ್ ನೋಂದಣ'!$F$5:$F$502,C579,'CHIT REGISTER (ಮಾಸಿಕ ಚಿಟ್ ನೋಂದಣ'!$G$5:$G$502,"UNPAID")-IF(F579="PAID",N(D579),0)))</f>
        <v/>
      </c>
      <c r="F579" s="4"/>
      <c r="G579" s="12"/>
      <c r="H579" s="2"/>
    </row>
    <row r="580" spans="1:8">
      <c r="A580" s="1"/>
      <c r="B580" s="14"/>
      <c r="C580" s="1"/>
      <c r="D580" s="15"/>
      <c r="E580" s="9" t="str">
        <f>IF(C580="","",MAX(0,SUMIFS('CHIT REGISTER (ಮಾಸಿಕ ಚಿಟ್ ನೋಂದಣ'!$D$5:$D$502,'CHIT REGISTER (ಮಾಸಿಕ ಚಿಟ್ ನೋಂದಣ'!$F$5:$F$502,C580,'CHIT REGISTER (ಮಾಸಿಕ ಚಿಟ್ ನೋಂದಣ'!$G$5:$G$502,"UNPAID")-IF(F580="PAID",N(D580),0)))</f>
        <v/>
      </c>
      <c r="F580" s="3"/>
      <c r="G580" s="14"/>
      <c r="H580" s="1"/>
    </row>
    <row r="581" spans="1:8">
      <c r="A581" s="2"/>
      <c r="B581" s="12"/>
      <c r="C581" s="2"/>
      <c r="D581" s="13"/>
      <c r="E581" s="8" t="str">
        <f>IF(C581="","",MAX(0,SUMIFS('CHIT REGISTER (ಮಾಸಿಕ ಚಿಟ್ ನೋಂದಣ'!$D$5:$D$502,'CHIT REGISTER (ಮಾಸಿಕ ಚಿಟ್ ನೋಂದಣ'!$F$5:$F$502,C581,'CHIT REGISTER (ಮಾಸಿಕ ಚಿಟ್ ನೋಂದಣ'!$G$5:$G$502,"UNPAID")-IF(F581="PAID",N(D581),0)))</f>
        <v/>
      </c>
      <c r="F581" s="4"/>
      <c r="G581" s="12"/>
      <c r="H581" s="2"/>
    </row>
    <row r="582" spans="1:8">
      <c r="A582" s="1"/>
      <c r="B582" s="14"/>
      <c r="C582" s="1"/>
      <c r="D582" s="15"/>
      <c r="E582" s="9" t="str">
        <f>IF(C582="","",MAX(0,SUMIFS('CHIT REGISTER (ಮಾಸಿಕ ಚಿಟ್ ನೋಂದಣ'!$D$5:$D$502,'CHIT REGISTER (ಮಾಸಿಕ ಚಿಟ್ ನೋಂದಣ'!$F$5:$F$502,C582,'CHIT REGISTER (ಮಾಸಿಕ ಚಿಟ್ ನೋಂದಣ'!$G$5:$G$502,"UNPAID")-IF(F582="PAID",N(D582),0)))</f>
        <v/>
      </c>
      <c r="F582" s="3"/>
      <c r="G582" s="14"/>
      <c r="H582" s="1"/>
    </row>
    <row r="583" spans="1:8">
      <c r="A583" s="2"/>
      <c r="B583" s="12"/>
      <c r="C583" s="2"/>
      <c r="D583" s="13"/>
      <c r="E583" s="8" t="str">
        <f>IF(C583="","",MAX(0,SUMIFS('CHIT REGISTER (ಮಾಸಿಕ ಚಿಟ್ ನೋಂದಣ'!$D$5:$D$502,'CHIT REGISTER (ಮಾಸಿಕ ಚಿಟ್ ನೋಂದಣ'!$F$5:$F$502,C583,'CHIT REGISTER (ಮಾಸಿಕ ಚಿಟ್ ನೋಂದಣ'!$G$5:$G$502,"UNPAID")-IF(F583="PAID",N(D583),0)))</f>
        <v/>
      </c>
      <c r="F583" s="4"/>
      <c r="G583" s="12"/>
      <c r="H583" s="2"/>
    </row>
    <row r="584" spans="1:8">
      <c r="A584" s="1"/>
      <c r="B584" s="14"/>
      <c r="C584" s="1"/>
      <c r="D584" s="15"/>
      <c r="E584" s="9" t="str">
        <f>IF(C584="","",MAX(0,SUMIFS('CHIT REGISTER (ಮಾಸಿಕ ಚಿಟ್ ನೋಂದಣ'!$D$5:$D$502,'CHIT REGISTER (ಮಾಸಿಕ ಚಿಟ್ ನೋಂದಣ'!$F$5:$F$502,C584,'CHIT REGISTER (ಮಾಸಿಕ ಚಿಟ್ ನೋಂದಣ'!$G$5:$G$502,"UNPAID")-IF(F584="PAID",N(D584),0)))</f>
        <v/>
      </c>
      <c r="F584" s="3"/>
      <c r="G584" s="14"/>
      <c r="H584" s="1"/>
    </row>
    <row r="585" spans="1:8">
      <c r="A585" s="2"/>
      <c r="B585" s="12"/>
      <c r="C585" s="2"/>
      <c r="D585" s="13"/>
      <c r="E585" s="8" t="str">
        <f>IF(C585="","",MAX(0,SUMIFS('CHIT REGISTER (ಮಾಸಿಕ ಚಿಟ್ ನೋಂದಣ'!$D$5:$D$502,'CHIT REGISTER (ಮಾಸಿಕ ಚಿಟ್ ನೋಂದಣ'!$F$5:$F$502,C585,'CHIT REGISTER (ಮಾಸಿಕ ಚಿಟ್ ನೋಂದಣ'!$G$5:$G$502,"UNPAID")-IF(F585="PAID",N(D585),0)))</f>
        <v/>
      </c>
      <c r="F585" s="4"/>
      <c r="G585" s="12"/>
      <c r="H585" s="2"/>
    </row>
    <row r="586" spans="1:8">
      <c r="A586" s="1"/>
      <c r="B586" s="14"/>
      <c r="C586" s="1"/>
      <c r="D586" s="15"/>
      <c r="E586" s="9" t="str">
        <f>IF(C586="","",MAX(0,SUMIFS('CHIT REGISTER (ಮಾಸಿಕ ಚಿಟ್ ನೋಂದಣ'!$D$5:$D$502,'CHIT REGISTER (ಮಾಸಿಕ ಚಿಟ್ ನೋಂದಣ'!$F$5:$F$502,C586,'CHIT REGISTER (ಮಾಸಿಕ ಚಿಟ್ ನೋಂದಣ'!$G$5:$G$502,"UNPAID")-IF(F586="PAID",N(D586),0)))</f>
        <v/>
      </c>
      <c r="F586" s="3"/>
      <c r="G586" s="14"/>
      <c r="H586" s="1"/>
    </row>
    <row r="587" spans="1:8">
      <c r="A587" s="2"/>
      <c r="B587" s="12"/>
      <c r="C587" s="2"/>
      <c r="D587" s="13"/>
      <c r="E587" s="8" t="str">
        <f>IF(C587="","",MAX(0,SUMIFS('CHIT REGISTER (ಮಾಸಿಕ ಚಿಟ್ ನೋಂದಣ'!$D$5:$D$502,'CHIT REGISTER (ಮಾಸಿಕ ಚಿಟ್ ನೋಂದಣ'!$F$5:$F$502,C587,'CHIT REGISTER (ಮಾಸಿಕ ಚಿಟ್ ನೋಂದಣ'!$G$5:$G$502,"UNPAID")-IF(F587="PAID",N(D587),0)))</f>
        <v/>
      </c>
      <c r="F587" s="4"/>
      <c r="G587" s="12"/>
      <c r="H587" s="2"/>
    </row>
    <row r="588" spans="1:8">
      <c r="A588" s="1"/>
      <c r="B588" s="14"/>
      <c r="C588" s="1"/>
      <c r="D588" s="15"/>
      <c r="E588" s="9" t="str">
        <f>IF(C588="","",MAX(0,SUMIFS('CHIT REGISTER (ಮಾಸಿಕ ಚಿಟ್ ನೋಂದಣ'!$D$5:$D$502,'CHIT REGISTER (ಮಾಸಿಕ ಚಿಟ್ ನೋಂದಣ'!$F$5:$F$502,C588,'CHIT REGISTER (ಮಾಸಿಕ ಚಿಟ್ ನೋಂದಣ'!$G$5:$G$502,"UNPAID")-IF(F588="PAID",N(D588),0)))</f>
        <v/>
      </c>
      <c r="F588" s="3"/>
      <c r="G588" s="14"/>
      <c r="H588" s="1"/>
    </row>
    <row r="589" spans="1:8">
      <c r="A589" s="2"/>
      <c r="B589" s="12"/>
      <c r="C589" s="2"/>
      <c r="D589" s="13"/>
      <c r="E589" s="8" t="str">
        <f>IF(C589="","",MAX(0,SUMIFS('CHIT REGISTER (ಮಾಸಿಕ ಚಿಟ್ ನೋಂದಣ'!$D$5:$D$502,'CHIT REGISTER (ಮಾಸಿಕ ಚಿಟ್ ನೋಂದಣ'!$F$5:$F$502,C589,'CHIT REGISTER (ಮಾಸಿಕ ಚಿಟ್ ನೋಂದಣ'!$G$5:$G$502,"UNPAID")-IF(F589="PAID",N(D589),0)))</f>
        <v/>
      </c>
      <c r="F589" s="4"/>
      <c r="G589" s="12"/>
      <c r="H589" s="2"/>
    </row>
    <row r="590" spans="1:8">
      <c r="A590" s="1"/>
      <c r="B590" s="14"/>
      <c r="C590" s="1"/>
      <c r="D590" s="15"/>
      <c r="E590" s="9" t="str">
        <f>IF(C590="","",MAX(0,SUMIFS('CHIT REGISTER (ಮಾಸಿಕ ಚಿಟ್ ನೋಂದಣ'!$D$5:$D$502,'CHIT REGISTER (ಮಾಸಿಕ ಚಿಟ್ ನೋಂದಣ'!$F$5:$F$502,C590,'CHIT REGISTER (ಮಾಸಿಕ ಚಿಟ್ ನೋಂದಣ'!$G$5:$G$502,"UNPAID")-IF(F590="PAID",N(D590),0)))</f>
        <v/>
      </c>
      <c r="F590" s="3"/>
      <c r="G590" s="14"/>
      <c r="H590" s="1"/>
    </row>
    <row r="591" spans="1:8">
      <c r="A591" s="2"/>
      <c r="B591" s="12"/>
      <c r="C591" s="2"/>
      <c r="D591" s="13"/>
      <c r="E591" s="8" t="str">
        <f>IF(C591="","",MAX(0,SUMIFS('CHIT REGISTER (ಮಾಸಿಕ ಚಿಟ್ ನೋಂದಣ'!$D$5:$D$502,'CHIT REGISTER (ಮಾಸಿಕ ಚಿಟ್ ನೋಂದಣ'!$F$5:$F$502,C591,'CHIT REGISTER (ಮಾಸಿಕ ಚಿಟ್ ನೋಂದಣ'!$G$5:$G$502,"UNPAID")-IF(F591="PAID",N(D591),0)))</f>
        <v/>
      </c>
      <c r="F591" s="4"/>
      <c r="G591" s="12"/>
      <c r="H591" s="2"/>
    </row>
    <row r="592" spans="1:8">
      <c r="A592" s="1"/>
      <c r="B592" s="14"/>
      <c r="C592" s="1"/>
      <c r="D592" s="15"/>
      <c r="E592" s="9" t="str">
        <f>IF(C592="","",MAX(0,SUMIFS('CHIT REGISTER (ಮಾಸಿಕ ಚಿಟ್ ನೋಂದಣ'!$D$5:$D$502,'CHIT REGISTER (ಮಾಸಿಕ ಚಿಟ್ ನೋಂದಣ'!$F$5:$F$502,C592,'CHIT REGISTER (ಮಾಸಿಕ ಚಿಟ್ ನೋಂದಣ'!$G$5:$G$502,"UNPAID")-IF(F592="PAID",N(D592),0)))</f>
        <v/>
      </c>
      <c r="F592" s="3"/>
      <c r="G592" s="14"/>
      <c r="H592" s="1"/>
    </row>
    <row r="593" spans="1:8">
      <c r="A593" s="2"/>
      <c r="B593" s="12"/>
      <c r="C593" s="2"/>
      <c r="D593" s="13"/>
      <c r="E593" s="8" t="str">
        <f>IF(C593="","",MAX(0,SUMIFS('CHIT REGISTER (ಮಾಸಿಕ ಚಿಟ್ ನೋಂದಣ'!$D$5:$D$502,'CHIT REGISTER (ಮಾಸಿಕ ಚಿಟ್ ನೋಂದಣ'!$F$5:$F$502,C593,'CHIT REGISTER (ಮಾಸಿಕ ಚಿಟ್ ನೋಂದಣ'!$G$5:$G$502,"UNPAID")-IF(F593="PAID",N(D593),0)))</f>
        <v/>
      </c>
      <c r="F593" s="4"/>
      <c r="G593" s="12"/>
      <c r="H593" s="2"/>
    </row>
    <row r="594" spans="1:8">
      <c r="A594" s="1"/>
      <c r="B594" s="14"/>
      <c r="C594" s="1"/>
      <c r="D594" s="15"/>
      <c r="E594" s="9" t="str">
        <f>IF(C594="","",MAX(0,SUMIFS('CHIT REGISTER (ಮಾಸಿಕ ಚಿಟ್ ನೋಂದಣ'!$D$5:$D$502,'CHIT REGISTER (ಮಾಸಿಕ ಚಿಟ್ ನೋಂದಣ'!$F$5:$F$502,C594,'CHIT REGISTER (ಮಾಸಿಕ ಚಿಟ್ ನೋಂದಣ'!$G$5:$G$502,"UNPAID")-IF(F594="PAID",N(D594),0)))</f>
        <v/>
      </c>
      <c r="F594" s="3"/>
      <c r="G594" s="14"/>
      <c r="H594" s="1"/>
    </row>
    <row r="595" spans="1:8">
      <c r="A595" s="2"/>
      <c r="B595" s="12"/>
      <c r="C595" s="2"/>
      <c r="D595" s="13"/>
      <c r="E595" s="8" t="str">
        <f>IF(C595="","",MAX(0,SUMIFS('CHIT REGISTER (ಮಾಸಿಕ ಚಿಟ್ ನೋಂದಣ'!$D$5:$D$502,'CHIT REGISTER (ಮಾಸಿಕ ಚಿಟ್ ನೋಂದಣ'!$F$5:$F$502,C595,'CHIT REGISTER (ಮಾಸಿಕ ಚಿಟ್ ನೋಂದಣ'!$G$5:$G$502,"UNPAID")-IF(F595="PAID",N(D595),0)))</f>
        <v/>
      </c>
      <c r="F595" s="4"/>
      <c r="G595" s="12"/>
      <c r="H595" s="2"/>
    </row>
    <row r="596" spans="1:8">
      <c r="A596" s="1"/>
      <c r="B596" s="14"/>
      <c r="C596" s="1"/>
      <c r="D596" s="15"/>
      <c r="E596" s="9" t="str">
        <f>IF(C596="","",MAX(0,SUMIFS('CHIT REGISTER (ಮಾಸಿಕ ಚಿಟ್ ನೋಂದಣ'!$D$5:$D$502,'CHIT REGISTER (ಮಾಸಿಕ ಚಿಟ್ ನೋಂದಣ'!$F$5:$F$502,C596,'CHIT REGISTER (ಮಾಸಿಕ ಚಿಟ್ ನೋಂದಣ'!$G$5:$G$502,"UNPAID")-IF(F596="PAID",N(D596),0)))</f>
        <v/>
      </c>
      <c r="F596" s="3"/>
      <c r="G596" s="14"/>
      <c r="H596" s="1"/>
    </row>
    <row r="597" spans="1:8">
      <c r="A597" s="2"/>
      <c r="B597" s="12"/>
      <c r="C597" s="2"/>
      <c r="D597" s="13"/>
      <c r="E597" s="8" t="str">
        <f>IF(C597="","",MAX(0,SUMIFS('CHIT REGISTER (ಮಾಸಿಕ ಚಿಟ್ ನೋಂದಣ'!$D$5:$D$502,'CHIT REGISTER (ಮಾಸಿಕ ಚಿಟ್ ನೋಂದಣ'!$F$5:$F$502,C597,'CHIT REGISTER (ಮಾಸಿಕ ಚಿಟ್ ನೋಂದಣ'!$G$5:$G$502,"UNPAID")-IF(F597="PAID",N(D597),0)))</f>
        <v/>
      </c>
      <c r="F597" s="4"/>
      <c r="G597" s="12"/>
      <c r="H597" s="2"/>
    </row>
    <row r="598" spans="1:8">
      <c r="A598" s="1"/>
      <c r="B598" s="14"/>
      <c r="C598" s="1"/>
      <c r="D598" s="15"/>
      <c r="E598" s="9" t="str">
        <f>IF(C598="","",MAX(0,SUMIFS('CHIT REGISTER (ಮಾಸಿಕ ಚಿಟ್ ನೋಂದಣ'!$D$5:$D$502,'CHIT REGISTER (ಮಾಸಿಕ ಚಿಟ್ ನೋಂದಣ'!$F$5:$F$502,C598,'CHIT REGISTER (ಮಾಸಿಕ ಚಿಟ್ ನೋಂದಣ'!$G$5:$G$502,"UNPAID")-IF(F598="PAID",N(D598),0)))</f>
        <v/>
      </c>
      <c r="F598" s="3"/>
      <c r="G598" s="14"/>
      <c r="H598" s="1"/>
    </row>
    <row r="599" spans="1:8">
      <c r="A599" s="2"/>
      <c r="B599" s="12"/>
      <c r="C599" s="2"/>
      <c r="D599" s="13"/>
      <c r="E599" s="8" t="str">
        <f>IF(C599="","",MAX(0,SUMIFS('CHIT REGISTER (ಮಾಸಿಕ ಚಿಟ್ ನೋಂದಣ'!$D$5:$D$502,'CHIT REGISTER (ಮಾಸಿಕ ಚಿಟ್ ನೋಂದಣ'!$F$5:$F$502,C599,'CHIT REGISTER (ಮಾಸಿಕ ಚಿಟ್ ನೋಂದಣ'!$G$5:$G$502,"UNPAID")-IF(F599="PAID",N(D599),0)))</f>
        <v/>
      </c>
      <c r="F599" s="4"/>
      <c r="G599" s="12"/>
      <c r="H599" s="2"/>
    </row>
    <row r="600" spans="1:8">
      <c r="A600" s="1"/>
      <c r="B600" s="14"/>
      <c r="C600" s="1"/>
      <c r="D600" s="15"/>
      <c r="E600" s="9" t="str">
        <f>IF(C600="","",MAX(0,SUMIFS('CHIT REGISTER (ಮಾಸಿಕ ಚಿಟ್ ನೋಂದಣ'!$D$5:$D$502,'CHIT REGISTER (ಮಾಸಿಕ ಚಿಟ್ ನೋಂದಣ'!$F$5:$F$502,C600,'CHIT REGISTER (ಮಾಸಿಕ ಚಿಟ್ ನೋಂದಣ'!$G$5:$G$502,"UNPAID")-IF(F600="PAID",N(D600),0)))</f>
        <v/>
      </c>
      <c r="F600" s="3"/>
      <c r="G600" s="14"/>
      <c r="H600" s="1"/>
    </row>
    <row r="601" spans="1:8">
      <c r="A601" s="2"/>
      <c r="B601" s="12"/>
      <c r="C601" s="2"/>
      <c r="D601" s="13"/>
      <c r="E601" s="8" t="str">
        <f>IF(C601="","",MAX(0,SUMIFS('CHIT REGISTER (ಮಾಸಿಕ ಚಿಟ್ ನೋಂದಣ'!$D$5:$D$502,'CHIT REGISTER (ಮಾಸಿಕ ಚಿಟ್ ನೋಂದಣ'!$F$5:$F$502,C601,'CHIT REGISTER (ಮಾಸಿಕ ಚಿಟ್ ನೋಂದಣ'!$G$5:$G$502,"UNPAID")-IF(F601="PAID",N(D601),0)))</f>
        <v/>
      </c>
      <c r="F601" s="4"/>
      <c r="G601" s="12"/>
      <c r="H601" s="2"/>
    </row>
    <row r="602" spans="1:8">
      <c r="A602" s="1"/>
      <c r="B602" s="14"/>
      <c r="C602" s="1"/>
      <c r="D602" s="15"/>
      <c r="E602" s="9" t="str">
        <f>IF(C602="","",MAX(0,SUMIFS('CHIT REGISTER (ಮಾಸಿಕ ಚಿಟ್ ನೋಂದಣ'!$D$5:$D$502,'CHIT REGISTER (ಮಾಸಿಕ ಚಿಟ್ ನೋಂದಣ'!$F$5:$F$502,C602,'CHIT REGISTER (ಮಾಸಿಕ ಚಿಟ್ ನೋಂದಣ'!$G$5:$G$502,"UNPAID")-IF(F602="PAID",N(D602),0)))</f>
        <v/>
      </c>
      <c r="F602" s="3"/>
      <c r="G602" s="14"/>
      <c r="H602" s="1"/>
    </row>
    <row r="603" spans="1:8">
      <c r="A603" s="2"/>
      <c r="B603" s="12"/>
      <c r="C603" s="2"/>
      <c r="D603" s="13"/>
      <c r="E603" s="8" t="str">
        <f>IF(C603="","",MAX(0,SUMIFS('CHIT REGISTER (ಮಾಸಿಕ ಚಿಟ್ ನೋಂದಣ'!$D$5:$D$502,'CHIT REGISTER (ಮಾಸಿಕ ಚಿಟ್ ನೋಂದಣ'!$F$5:$F$502,C603,'CHIT REGISTER (ಮಾಸಿಕ ಚಿಟ್ ನೋಂದಣ'!$G$5:$G$502,"UNPAID")-IF(F603="PAID",N(D603),0)))</f>
        <v/>
      </c>
      <c r="F603" s="4"/>
      <c r="G603" s="12"/>
      <c r="H603" s="2"/>
    </row>
    <row r="604" spans="1:8">
      <c r="A604" s="1"/>
      <c r="B604" s="14"/>
      <c r="C604" s="1"/>
      <c r="D604" s="15"/>
      <c r="E604" s="9" t="str">
        <f>IF(C604="","",MAX(0,SUMIFS('CHIT REGISTER (ಮಾಸಿಕ ಚಿಟ್ ನೋಂದಣ'!$D$5:$D$502,'CHIT REGISTER (ಮಾಸಿಕ ಚಿಟ್ ನೋಂದಣ'!$F$5:$F$502,C604,'CHIT REGISTER (ಮಾಸಿಕ ಚಿಟ್ ನೋಂದಣ'!$G$5:$G$502,"UNPAID")-IF(F604="PAID",N(D604),0)))</f>
        <v/>
      </c>
      <c r="F604" s="3"/>
      <c r="G604" s="14"/>
      <c r="H604" s="1"/>
    </row>
    <row r="605" spans="1:8">
      <c r="A605" s="2"/>
      <c r="B605" s="12"/>
      <c r="C605" s="2"/>
      <c r="D605" s="13"/>
      <c r="E605" s="8" t="str">
        <f>IF(C605="","",MAX(0,SUMIFS('CHIT REGISTER (ಮಾಸಿಕ ಚಿಟ್ ನೋಂದಣ'!$D$5:$D$502,'CHIT REGISTER (ಮಾಸಿಕ ಚಿಟ್ ನೋಂದಣ'!$F$5:$F$502,C605,'CHIT REGISTER (ಮಾಸಿಕ ಚಿಟ್ ನೋಂದಣ'!$G$5:$G$502,"UNPAID")-IF(F605="PAID",N(D605),0)))</f>
        <v/>
      </c>
      <c r="F605" s="4"/>
      <c r="G605" s="12"/>
      <c r="H605" s="2"/>
    </row>
    <row r="606" spans="1:8">
      <c r="A606" s="1"/>
      <c r="B606" s="14"/>
      <c r="C606" s="1"/>
      <c r="D606" s="15"/>
      <c r="E606" s="9" t="str">
        <f>IF(C606="","",MAX(0,SUMIFS('CHIT REGISTER (ಮಾಸಿಕ ಚಿಟ್ ನೋಂದಣ'!$D$5:$D$502,'CHIT REGISTER (ಮಾಸಿಕ ಚಿಟ್ ನೋಂದಣ'!$F$5:$F$502,C606,'CHIT REGISTER (ಮಾಸಿಕ ಚಿಟ್ ನೋಂದಣ'!$G$5:$G$502,"UNPAID")-IF(F606="PAID",N(D606),0)))</f>
        <v/>
      </c>
      <c r="F606" s="3"/>
      <c r="G606" s="14"/>
      <c r="H606" s="1"/>
    </row>
    <row r="607" spans="1:8">
      <c r="A607" s="2"/>
      <c r="B607" s="12"/>
      <c r="C607" s="2"/>
      <c r="D607" s="13"/>
      <c r="E607" s="8" t="str">
        <f>IF(C607="","",MAX(0,SUMIFS('CHIT REGISTER (ಮಾಸಿಕ ಚಿಟ್ ನೋಂದಣ'!$D$5:$D$502,'CHIT REGISTER (ಮಾಸಿಕ ಚಿಟ್ ನೋಂದಣ'!$F$5:$F$502,C607,'CHIT REGISTER (ಮಾಸಿಕ ಚಿಟ್ ನೋಂದಣ'!$G$5:$G$502,"UNPAID")-IF(F607="PAID",N(D607),0)))</f>
        <v/>
      </c>
      <c r="F607" s="4"/>
      <c r="G607" s="12"/>
      <c r="H607" s="2"/>
    </row>
    <row r="608" spans="1:8">
      <c r="A608" s="1"/>
      <c r="B608" s="14"/>
      <c r="C608" s="1"/>
      <c r="D608" s="15"/>
      <c r="E608" s="9" t="str">
        <f>IF(C608="","",MAX(0,SUMIFS('CHIT REGISTER (ಮಾಸಿಕ ಚಿಟ್ ನೋಂದಣ'!$D$5:$D$502,'CHIT REGISTER (ಮಾಸಿಕ ಚಿಟ್ ನೋಂದಣ'!$F$5:$F$502,C608,'CHIT REGISTER (ಮಾಸಿಕ ಚಿಟ್ ನೋಂದಣ'!$G$5:$G$502,"UNPAID")-IF(F608="PAID",N(D608),0)))</f>
        <v/>
      </c>
      <c r="F608" s="3"/>
      <c r="G608" s="14"/>
      <c r="H608" s="1"/>
    </row>
    <row r="609" spans="1:8">
      <c r="A609" s="2"/>
      <c r="B609" s="12"/>
      <c r="C609" s="2"/>
      <c r="D609" s="13"/>
      <c r="E609" s="8" t="str">
        <f>IF(C609="","",MAX(0,SUMIFS('CHIT REGISTER (ಮಾಸಿಕ ಚಿಟ್ ನೋಂದಣ'!$D$5:$D$502,'CHIT REGISTER (ಮಾಸಿಕ ಚಿಟ್ ನೋಂದಣ'!$F$5:$F$502,C609,'CHIT REGISTER (ಮಾಸಿಕ ಚಿಟ್ ನೋಂದಣ'!$G$5:$G$502,"UNPAID")-IF(F609="PAID",N(D609),0)))</f>
        <v/>
      </c>
      <c r="F609" s="4"/>
      <c r="G609" s="12"/>
      <c r="H609" s="2"/>
    </row>
    <row r="610" spans="1:8">
      <c r="A610" s="1"/>
      <c r="B610" s="14"/>
      <c r="C610" s="1"/>
      <c r="D610" s="15"/>
      <c r="E610" s="9" t="str">
        <f>IF(C610="","",MAX(0,SUMIFS('CHIT REGISTER (ಮಾಸಿಕ ಚಿಟ್ ನೋಂದಣ'!$D$5:$D$502,'CHIT REGISTER (ಮಾಸಿಕ ಚಿಟ್ ನೋಂದಣ'!$F$5:$F$502,C610,'CHIT REGISTER (ಮಾಸಿಕ ಚಿಟ್ ನೋಂದಣ'!$G$5:$G$502,"UNPAID")-IF(F610="PAID",N(D610),0)))</f>
        <v/>
      </c>
      <c r="F610" s="3"/>
      <c r="G610" s="14"/>
      <c r="H610" s="1"/>
    </row>
    <row r="611" spans="1:8">
      <c r="A611" s="2"/>
      <c r="B611" s="12"/>
      <c r="C611" s="2"/>
      <c r="D611" s="13"/>
      <c r="E611" s="8" t="str">
        <f>IF(C611="","",MAX(0,SUMIFS('CHIT REGISTER (ಮಾಸಿಕ ಚಿಟ್ ನೋಂದಣ'!$D$5:$D$502,'CHIT REGISTER (ಮಾಸಿಕ ಚಿಟ್ ನೋಂದಣ'!$F$5:$F$502,C611,'CHIT REGISTER (ಮಾಸಿಕ ಚಿಟ್ ನೋಂದಣ'!$G$5:$G$502,"UNPAID")-IF(F611="PAID",N(D611),0)))</f>
        <v/>
      </c>
      <c r="F611" s="4"/>
      <c r="G611" s="12"/>
      <c r="H611" s="2"/>
    </row>
    <row r="612" spans="1:8">
      <c r="A612" s="1"/>
      <c r="B612" s="14"/>
      <c r="C612" s="1"/>
      <c r="D612" s="15"/>
      <c r="E612" s="9" t="str">
        <f>IF(C612="","",MAX(0,SUMIFS('CHIT REGISTER (ಮಾಸಿಕ ಚಿಟ್ ನೋಂದಣ'!$D$5:$D$502,'CHIT REGISTER (ಮಾಸಿಕ ಚಿಟ್ ನೋಂದಣ'!$F$5:$F$502,C612,'CHIT REGISTER (ಮಾಸಿಕ ಚಿಟ್ ನೋಂದಣ'!$G$5:$G$502,"UNPAID")-IF(F612="PAID",N(D612),0)))</f>
        <v/>
      </c>
      <c r="F612" s="3"/>
      <c r="G612" s="14"/>
      <c r="H612" s="1"/>
    </row>
    <row r="613" spans="1:8">
      <c r="A613" s="2"/>
      <c r="B613" s="12"/>
      <c r="C613" s="2"/>
      <c r="D613" s="13"/>
      <c r="E613" s="8" t="str">
        <f>IF(C613="","",MAX(0,SUMIFS('CHIT REGISTER (ಮಾಸಿಕ ಚಿಟ್ ನೋಂದಣ'!$D$5:$D$502,'CHIT REGISTER (ಮಾಸಿಕ ಚಿಟ್ ನೋಂದಣ'!$F$5:$F$502,C613,'CHIT REGISTER (ಮಾಸಿಕ ಚಿಟ್ ನೋಂದಣ'!$G$5:$G$502,"UNPAID")-IF(F613="PAID",N(D613),0)))</f>
        <v/>
      </c>
      <c r="F613" s="4"/>
      <c r="G613" s="12"/>
      <c r="H613" s="2"/>
    </row>
    <row r="614" spans="1:8">
      <c r="A614" s="1"/>
      <c r="B614" s="14"/>
      <c r="C614" s="1"/>
      <c r="D614" s="15"/>
      <c r="E614" s="9" t="str">
        <f>IF(C614="","",MAX(0,SUMIFS('CHIT REGISTER (ಮಾಸಿಕ ಚಿಟ್ ನೋಂದಣ'!$D$5:$D$502,'CHIT REGISTER (ಮಾಸಿಕ ಚಿಟ್ ನೋಂದಣ'!$F$5:$F$502,C614,'CHIT REGISTER (ಮಾಸಿಕ ಚಿಟ್ ನೋಂದಣ'!$G$5:$G$502,"UNPAID")-IF(F614="PAID",N(D614),0)))</f>
        <v/>
      </c>
      <c r="F614" s="3"/>
      <c r="G614" s="14"/>
      <c r="H614" s="1"/>
    </row>
    <row r="615" spans="1:8">
      <c r="A615" s="2"/>
      <c r="B615" s="12"/>
      <c r="C615" s="2"/>
      <c r="D615" s="13"/>
      <c r="E615" s="8" t="str">
        <f>IF(C615="","",MAX(0,SUMIFS('CHIT REGISTER (ಮಾಸಿಕ ಚಿಟ್ ನೋಂದಣ'!$D$5:$D$502,'CHIT REGISTER (ಮಾಸಿಕ ಚಿಟ್ ನೋಂದಣ'!$F$5:$F$502,C615,'CHIT REGISTER (ಮಾಸಿಕ ಚಿಟ್ ನೋಂದಣ'!$G$5:$G$502,"UNPAID")-IF(F615="PAID",N(D615),0)))</f>
        <v/>
      </c>
      <c r="F615" s="4"/>
      <c r="G615" s="12"/>
      <c r="H615" s="2"/>
    </row>
    <row r="616" spans="1:8">
      <c r="A616" s="1"/>
      <c r="B616" s="14"/>
      <c r="C616" s="1"/>
      <c r="D616" s="15"/>
      <c r="E616" s="9" t="str">
        <f>IF(C616="","",MAX(0,SUMIFS('CHIT REGISTER (ಮಾಸಿಕ ಚಿಟ್ ನೋಂದಣ'!$D$5:$D$502,'CHIT REGISTER (ಮಾಸಿಕ ಚಿಟ್ ನೋಂದಣ'!$F$5:$F$502,C616,'CHIT REGISTER (ಮಾಸಿಕ ಚಿಟ್ ನೋಂದಣ'!$G$5:$G$502,"UNPAID")-IF(F616="PAID",N(D616),0)))</f>
        <v/>
      </c>
      <c r="F616" s="3"/>
      <c r="G616" s="14"/>
      <c r="H616" s="1"/>
    </row>
    <row r="617" spans="1:8">
      <c r="A617" s="2"/>
      <c r="B617" s="12"/>
      <c r="C617" s="2"/>
      <c r="D617" s="13"/>
      <c r="E617" s="8" t="str">
        <f>IF(C617="","",MAX(0,SUMIFS('CHIT REGISTER (ಮಾಸಿಕ ಚಿಟ್ ನೋಂದಣ'!$D$5:$D$502,'CHIT REGISTER (ಮಾಸಿಕ ಚಿಟ್ ನೋಂದಣ'!$F$5:$F$502,C617,'CHIT REGISTER (ಮಾಸಿಕ ಚಿಟ್ ನೋಂದಣ'!$G$5:$G$502,"UNPAID")-IF(F617="PAID",N(D617),0)))</f>
        <v/>
      </c>
      <c r="F617" s="4"/>
      <c r="G617" s="12"/>
      <c r="H617" s="2"/>
    </row>
    <row r="618" spans="1:8">
      <c r="A618" s="1"/>
      <c r="B618" s="14"/>
      <c r="C618" s="1"/>
      <c r="D618" s="15"/>
      <c r="E618" s="9" t="str">
        <f>IF(C618="","",MAX(0,SUMIFS('CHIT REGISTER (ಮಾಸಿಕ ಚಿಟ್ ನೋಂದಣ'!$D$5:$D$502,'CHIT REGISTER (ಮಾಸಿಕ ಚಿಟ್ ನೋಂದಣ'!$F$5:$F$502,C618,'CHIT REGISTER (ಮಾಸಿಕ ಚಿಟ್ ನೋಂದಣ'!$G$5:$G$502,"UNPAID")-IF(F618="PAID",N(D618),0)))</f>
        <v/>
      </c>
      <c r="F618" s="3"/>
      <c r="G618" s="14"/>
      <c r="H618" s="1"/>
    </row>
    <row r="619" spans="1:8">
      <c r="A619" s="2"/>
      <c r="B619" s="12"/>
      <c r="C619" s="2"/>
      <c r="D619" s="13"/>
      <c r="E619" s="8" t="str">
        <f>IF(C619="","",MAX(0,SUMIFS('CHIT REGISTER (ಮಾಸಿಕ ಚಿಟ್ ನೋಂದಣ'!$D$5:$D$502,'CHIT REGISTER (ಮಾಸಿಕ ಚಿಟ್ ನೋಂದಣ'!$F$5:$F$502,C619,'CHIT REGISTER (ಮಾಸಿಕ ಚಿಟ್ ನೋಂದಣ'!$G$5:$G$502,"UNPAID")-IF(F619="PAID",N(D619),0)))</f>
        <v/>
      </c>
      <c r="F619" s="4"/>
      <c r="G619" s="12"/>
      <c r="H619" s="2"/>
    </row>
    <row r="620" spans="1:8">
      <c r="A620" s="1"/>
      <c r="B620" s="14"/>
      <c r="C620" s="1"/>
      <c r="D620" s="15"/>
      <c r="E620" s="9" t="str">
        <f>IF(C620="","",MAX(0,SUMIFS('CHIT REGISTER (ಮಾಸಿಕ ಚಿಟ್ ನೋಂದಣ'!$D$5:$D$502,'CHIT REGISTER (ಮಾಸಿಕ ಚಿಟ್ ನೋಂದಣ'!$F$5:$F$502,C620,'CHIT REGISTER (ಮಾಸಿಕ ಚಿಟ್ ನೋಂದಣ'!$G$5:$G$502,"UNPAID")-IF(F620="PAID",N(D620),0)))</f>
        <v/>
      </c>
      <c r="F620" s="3"/>
      <c r="G620" s="14"/>
      <c r="H620" s="1"/>
    </row>
    <row r="621" spans="1:8">
      <c r="A621" s="2"/>
      <c r="B621" s="12"/>
      <c r="C621" s="2"/>
      <c r="D621" s="13"/>
      <c r="E621" s="8" t="str">
        <f>IF(C621="","",MAX(0,SUMIFS('CHIT REGISTER (ಮಾಸಿಕ ಚಿಟ್ ನೋಂದಣ'!$D$5:$D$502,'CHIT REGISTER (ಮಾಸಿಕ ಚಿಟ್ ನೋಂದಣ'!$F$5:$F$502,C621,'CHIT REGISTER (ಮಾಸಿಕ ಚಿಟ್ ನೋಂದಣ'!$G$5:$G$502,"UNPAID")-IF(F621="PAID",N(D621),0)))</f>
        <v/>
      </c>
      <c r="F621" s="4"/>
      <c r="G621" s="12"/>
      <c r="H621" s="2"/>
    </row>
    <row r="622" spans="1:8">
      <c r="A622" s="1"/>
      <c r="B622" s="14"/>
      <c r="C622" s="1"/>
      <c r="D622" s="15"/>
      <c r="E622" s="9" t="str">
        <f>IF(C622="","",MAX(0,SUMIFS('CHIT REGISTER (ಮಾಸಿಕ ಚಿಟ್ ನೋಂದಣ'!$D$5:$D$502,'CHIT REGISTER (ಮಾಸಿಕ ಚಿಟ್ ನೋಂದಣ'!$F$5:$F$502,C622,'CHIT REGISTER (ಮಾಸಿಕ ಚಿಟ್ ನೋಂದಣ'!$G$5:$G$502,"UNPAID")-IF(F622="PAID",N(D622),0)))</f>
        <v/>
      </c>
      <c r="F622" s="3"/>
      <c r="G622" s="14"/>
      <c r="H622" s="1"/>
    </row>
    <row r="623" spans="1:8">
      <c r="A623" s="2"/>
      <c r="B623" s="12"/>
      <c r="C623" s="2"/>
      <c r="D623" s="13"/>
      <c r="E623" s="8" t="str">
        <f>IF(C623="","",MAX(0,SUMIFS('CHIT REGISTER (ಮಾಸಿಕ ಚಿಟ್ ನೋಂದಣ'!$D$5:$D$502,'CHIT REGISTER (ಮಾಸಿಕ ಚಿಟ್ ನೋಂದಣ'!$F$5:$F$502,C623,'CHIT REGISTER (ಮಾಸಿಕ ಚಿಟ್ ನೋಂದಣ'!$G$5:$G$502,"UNPAID")-IF(F623="PAID",N(D623),0)))</f>
        <v/>
      </c>
      <c r="F623" s="4"/>
      <c r="G623" s="12"/>
      <c r="H623" s="2"/>
    </row>
    <row r="624" spans="1:8">
      <c r="A624" s="1"/>
      <c r="B624" s="14"/>
      <c r="C624" s="1"/>
      <c r="D624" s="15"/>
      <c r="E624" s="9" t="str">
        <f>IF(C624="","",MAX(0,SUMIFS('CHIT REGISTER (ಮಾಸಿಕ ಚಿಟ್ ನೋಂದಣ'!$D$5:$D$502,'CHIT REGISTER (ಮಾಸಿಕ ಚಿಟ್ ನೋಂದಣ'!$F$5:$F$502,C624,'CHIT REGISTER (ಮಾಸಿಕ ಚಿಟ್ ನೋಂದಣ'!$G$5:$G$502,"UNPAID")-IF(F624="PAID",N(D624),0)))</f>
        <v/>
      </c>
      <c r="F624" s="3"/>
      <c r="G624" s="14"/>
      <c r="H624" s="1"/>
    </row>
    <row r="625" spans="1:8">
      <c r="A625" s="2"/>
      <c r="B625" s="12"/>
      <c r="C625" s="2"/>
      <c r="D625" s="13"/>
      <c r="E625" s="8" t="str">
        <f>IF(C625="","",MAX(0,SUMIFS('CHIT REGISTER (ಮಾಸಿಕ ಚಿಟ್ ನೋಂದಣ'!$D$5:$D$502,'CHIT REGISTER (ಮಾಸಿಕ ಚಿಟ್ ನೋಂದಣ'!$F$5:$F$502,C625,'CHIT REGISTER (ಮಾಸಿಕ ಚಿಟ್ ನೋಂದಣ'!$G$5:$G$502,"UNPAID")-IF(F625="PAID",N(D625),0)))</f>
        <v/>
      </c>
      <c r="F625" s="4"/>
      <c r="G625" s="12"/>
      <c r="H625" s="2"/>
    </row>
    <row r="626" spans="1:8">
      <c r="A626" s="1"/>
      <c r="B626" s="14"/>
      <c r="C626" s="1"/>
      <c r="D626" s="15"/>
      <c r="E626" s="9" t="str">
        <f>IF(C626="","",MAX(0,SUMIFS('CHIT REGISTER (ಮಾಸಿಕ ಚಿಟ್ ನೋಂದಣ'!$D$5:$D$502,'CHIT REGISTER (ಮಾಸಿಕ ಚಿಟ್ ನೋಂದಣ'!$F$5:$F$502,C626,'CHIT REGISTER (ಮಾಸಿಕ ಚಿಟ್ ನೋಂದಣ'!$G$5:$G$502,"UNPAID")-IF(F626="PAID",N(D626),0)))</f>
        <v/>
      </c>
      <c r="F626" s="3"/>
      <c r="G626" s="14"/>
      <c r="H626" s="1"/>
    </row>
    <row r="627" spans="1:8">
      <c r="A627" s="2"/>
      <c r="B627" s="12"/>
      <c r="C627" s="2"/>
      <c r="D627" s="13"/>
      <c r="E627" s="8" t="str">
        <f>IF(C627="","",MAX(0,SUMIFS('CHIT REGISTER (ಮಾಸಿಕ ಚಿಟ್ ನೋಂದಣ'!$D$5:$D$502,'CHIT REGISTER (ಮಾಸಿಕ ಚಿಟ್ ನೋಂದಣ'!$F$5:$F$502,C627,'CHIT REGISTER (ಮಾಸಿಕ ಚಿಟ್ ನೋಂದಣ'!$G$5:$G$502,"UNPAID")-IF(F627="PAID",N(D627),0)))</f>
        <v/>
      </c>
      <c r="F627" s="4"/>
      <c r="G627" s="12"/>
      <c r="H627" s="2"/>
    </row>
    <row r="628" spans="1:8">
      <c r="A628" s="1"/>
      <c r="B628" s="14"/>
      <c r="C628" s="1"/>
      <c r="D628" s="15"/>
      <c r="E628" s="9" t="str">
        <f>IF(C628="","",MAX(0,SUMIFS('CHIT REGISTER (ಮಾಸಿಕ ಚಿಟ್ ನೋಂದಣ'!$D$5:$D$502,'CHIT REGISTER (ಮಾಸಿಕ ಚಿಟ್ ನೋಂದಣ'!$F$5:$F$502,C628,'CHIT REGISTER (ಮಾಸಿಕ ಚಿಟ್ ನೋಂದಣ'!$G$5:$G$502,"UNPAID")-IF(F628="PAID",N(D628),0)))</f>
        <v/>
      </c>
      <c r="F628" s="3"/>
      <c r="G628" s="14"/>
      <c r="H628" s="1"/>
    </row>
    <row r="629" spans="1:8">
      <c r="A629" s="2"/>
      <c r="B629" s="12"/>
      <c r="C629" s="2"/>
      <c r="D629" s="13"/>
      <c r="E629" s="8" t="str">
        <f>IF(C629="","",MAX(0,SUMIFS('CHIT REGISTER (ಮಾಸಿಕ ಚಿಟ್ ನೋಂದಣ'!$D$5:$D$502,'CHIT REGISTER (ಮಾಸಿಕ ಚಿಟ್ ನೋಂದಣ'!$F$5:$F$502,C629,'CHIT REGISTER (ಮಾಸಿಕ ಚಿಟ್ ನೋಂದಣ'!$G$5:$G$502,"UNPAID")-IF(F629="PAID",N(D629),0)))</f>
        <v/>
      </c>
      <c r="F629" s="4"/>
      <c r="G629" s="12"/>
      <c r="H629" s="2"/>
    </row>
    <row r="630" spans="1:8">
      <c r="A630" s="1"/>
      <c r="B630" s="14"/>
      <c r="C630" s="1"/>
      <c r="D630" s="15"/>
      <c r="E630" s="9" t="str">
        <f>IF(C630="","",MAX(0,SUMIFS('CHIT REGISTER (ಮಾಸಿಕ ಚಿಟ್ ನೋಂದಣ'!$D$5:$D$502,'CHIT REGISTER (ಮಾಸಿಕ ಚಿಟ್ ನೋಂದಣ'!$F$5:$F$502,C630,'CHIT REGISTER (ಮಾಸಿಕ ಚಿಟ್ ನೋಂದಣ'!$G$5:$G$502,"UNPAID")-IF(F630="PAID",N(D630),0)))</f>
        <v/>
      </c>
      <c r="F630" s="3"/>
      <c r="G630" s="14"/>
      <c r="H630" s="1"/>
    </row>
    <row r="631" spans="1:8">
      <c r="A631" s="2"/>
      <c r="B631" s="12"/>
      <c r="C631" s="2"/>
      <c r="D631" s="13"/>
      <c r="E631" s="8" t="str">
        <f>IF(C631="","",MAX(0,SUMIFS('CHIT REGISTER (ಮಾಸಿಕ ಚಿಟ್ ನೋಂದಣ'!$D$5:$D$502,'CHIT REGISTER (ಮಾಸಿಕ ಚಿಟ್ ನೋಂದಣ'!$F$5:$F$502,C631,'CHIT REGISTER (ಮಾಸಿಕ ಚಿಟ್ ನೋಂದಣ'!$G$5:$G$502,"UNPAID")-IF(F631="PAID",N(D631),0)))</f>
        <v/>
      </c>
      <c r="F631" s="4"/>
      <c r="G631" s="12"/>
      <c r="H631" s="2"/>
    </row>
    <row r="632" spans="1:8">
      <c r="A632" s="1"/>
      <c r="B632" s="14"/>
      <c r="C632" s="1"/>
      <c r="D632" s="15"/>
      <c r="E632" s="9" t="str">
        <f>IF(C632="","",MAX(0,SUMIFS('CHIT REGISTER (ಮಾಸಿಕ ಚಿಟ್ ನೋಂದಣ'!$D$5:$D$502,'CHIT REGISTER (ಮಾಸಿಕ ಚಿಟ್ ನೋಂದಣ'!$F$5:$F$502,C632,'CHIT REGISTER (ಮಾಸಿಕ ಚಿಟ್ ನೋಂದಣ'!$G$5:$G$502,"UNPAID")-IF(F632="PAID",N(D632),0)))</f>
        <v/>
      </c>
      <c r="F632" s="3"/>
      <c r="G632" s="14"/>
      <c r="H632" s="1"/>
    </row>
    <row r="633" spans="1:8">
      <c r="A633" s="2"/>
      <c r="B633" s="12"/>
      <c r="C633" s="2"/>
      <c r="D633" s="13"/>
      <c r="E633" s="8" t="str">
        <f>IF(C633="","",MAX(0,SUMIFS('CHIT REGISTER (ಮಾಸಿಕ ಚಿಟ್ ನೋಂದಣ'!$D$5:$D$502,'CHIT REGISTER (ಮಾಸಿಕ ಚಿಟ್ ನೋಂದಣ'!$F$5:$F$502,C633,'CHIT REGISTER (ಮಾಸಿಕ ಚಿಟ್ ನೋಂದಣ'!$G$5:$G$502,"UNPAID")-IF(F633="PAID",N(D633),0)))</f>
        <v/>
      </c>
      <c r="F633" s="4"/>
      <c r="G633" s="12"/>
      <c r="H633" s="2"/>
    </row>
    <row r="634" spans="1:8">
      <c r="A634" s="1"/>
      <c r="B634" s="14"/>
      <c r="C634" s="1"/>
      <c r="D634" s="15"/>
      <c r="E634" s="9" t="str">
        <f>IF(C634="","",MAX(0,SUMIFS('CHIT REGISTER (ಮಾಸಿಕ ಚಿಟ್ ನೋಂದಣ'!$D$5:$D$502,'CHIT REGISTER (ಮಾಸಿಕ ಚಿಟ್ ನೋಂದಣ'!$F$5:$F$502,C634,'CHIT REGISTER (ಮಾಸಿಕ ಚಿಟ್ ನೋಂದಣ'!$G$5:$G$502,"UNPAID")-IF(F634="PAID",N(D634),0)))</f>
        <v/>
      </c>
      <c r="F634" s="3"/>
      <c r="G634" s="14"/>
      <c r="H634" s="1"/>
    </row>
    <row r="635" spans="1:8">
      <c r="A635" s="2"/>
      <c r="B635" s="12"/>
      <c r="C635" s="2"/>
      <c r="D635" s="13"/>
      <c r="E635" s="8" t="str">
        <f>IF(C635="","",MAX(0,SUMIFS('CHIT REGISTER (ಮಾಸಿಕ ಚಿಟ್ ನೋಂದಣ'!$D$5:$D$502,'CHIT REGISTER (ಮಾಸಿಕ ಚಿಟ್ ನೋಂದಣ'!$F$5:$F$502,C635,'CHIT REGISTER (ಮಾಸಿಕ ಚಿಟ್ ನೋಂದಣ'!$G$5:$G$502,"UNPAID")-IF(F635="PAID",N(D635),0)))</f>
        <v/>
      </c>
      <c r="F635" s="4"/>
      <c r="G635" s="12"/>
      <c r="H635" s="2"/>
    </row>
    <row r="636" spans="1:8">
      <c r="A636" s="1"/>
      <c r="B636" s="14"/>
      <c r="C636" s="1"/>
      <c r="D636" s="15"/>
      <c r="E636" s="9" t="str">
        <f>IF(C636="","",MAX(0,SUMIFS('CHIT REGISTER (ಮಾಸಿಕ ಚಿಟ್ ನೋಂದಣ'!$D$5:$D$502,'CHIT REGISTER (ಮಾಸಿಕ ಚಿಟ್ ನೋಂದಣ'!$F$5:$F$502,C636,'CHIT REGISTER (ಮಾಸಿಕ ಚಿಟ್ ನೋಂದಣ'!$G$5:$G$502,"UNPAID")-IF(F636="PAID",N(D636),0)))</f>
        <v/>
      </c>
      <c r="F636" s="3"/>
      <c r="G636" s="14"/>
      <c r="H636" s="1"/>
    </row>
    <row r="637" spans="1:8">
      <c r="A637" s="2"/>
      <c r="B637" s="12"/>
      <c r="C637" s="2"/>
      <c r="D637" s="13"/>
      <c r="E637" s="8" t="str">
        <f>IF(C637="","",MAX(0,SUMIFS('CHIT REGISTER (ಮಾಸಿಕ ಚಿಟ್ ನೋಂದಣ'!$D$5:$D$502,'CHIT REGISTER (ಮಾಸಿಕ ಚಿಟ್ ನೋಂದಣ'!$F$5:$F$502,C637,'CHIT REGISTER (ಮಾಸಿಕ ಚಿಟ್ ನೋಂದಣ'!$G$5:$G$502,"UNPAID")-IF(F637="PAID",N(D637),0)))</f>
        <v/>
      </c>
      <c r="F637" s="4"/>
      <c r="G637" s="12"/>
      <c r="H637" s="2"/>
    </row>
    <row r="638" spans="1:8">
      <c r="A638" s="1"/>
      <c r="B638" s="14"/>
      <c r="C638" s="1"/>
      <c r="D638" s="15"/>
      <c r="E638" s="9" t="str">
        <f>IF(C638="","",MAX(0,SUMIFS('CHIT REGISTER (ಮಾಸಿಕ ಚಿಟ್ ನೋಂದಣ'!$D$5:$D$502,'CHIT REGISTER (ಮಾಸಿಕ ಚಿಟ್ ನೋಂದಣ'!$F$5:$F$502,C638,'CHIT REGISTER (ಮಾಸಿಕ ಚಿಟ್ ನೋಂದಣ'!$G$5:$G$502,"UNPAID")-IF(F638="PAID",N(D638),0)))</f>
        <v/>
      </c>
      <c r="F638" s="3"/>
      <c r="G638" s="14"/>
      <c r="H638" s="1"/>
    </row>
    <row r="639" spans="1:8">
      <c r="A639" s="2"/>
      <c r="B639" s="12"/>
      <c r="C639" s="2"/>
      <c r="D639" s="13"/>
      <c r="E639" s="8" t="str">
        <f>IF(C639="","",MAX(0,SUMIFS('CHIT REGISTER (ಮಾಸಿಕ ಚಿಟ್ ನೋಂದಣ'!$D$5:$D$502,'CHIT REGISTER (ಮಾಸಿಕ ಚಿಟ್ ನೋಂದಣ'!$F$5:$F$502,C639,'CHIT REGISTER (ಮಾಸಿಕ ಚಿಟ್ ನೋಂದಣ'!$G$5:$G$502,"UNPAID")-IF(F639="PAID",N(D639),0)))</f>
        <v/>
      </c>
      <c r="F639" s="4"/>
      <c r="G639" s="12"/>
      <c r="H639" s="2"/>
    </row>
    <row r="640" spans="1:8">
      <c r="A640" s="1"/>
      <c r="B640" s="14"/>
      <c r="C640" s="1"/>
      <c r="D640" s="15"/>
      <c r="E640" s="9" t="str">
        <f>IF(C640="","",MAX(0,SUMIFS('CHIT REGISTER (ಮಾಸಿಕ ಚಿಟ್ ನೋಂದಣ'!$D$5:$D$502,'CHIT REGISTER (ಮಾಸಿಕ ಚಿಟ್ ನೋಂದಣ'!$F$5:$F$502,C640,'CHIT REGISTER (ಮಾಸಿಕ ಚಿಟ್ ನೋಂದಣ'!$G$5:$G$502,"UNPAID")-IF(F640="PAID",N(D640),0)))</f>
        <v/>
      </c>
      <c r="F640" s="3"/>
      <c r="G640" s="14"/>
      <c r="H640" s="1"/>
    </row>
    <row r="641" spans="1:8">
      <c r="A641" s="2"/>
      <c r="B641" s="12"/>
      <c r="C641" s="2"/>
      <c r="D641" s="13"/>
      <c r="E641" s="8" t="str">
        <f>IF(C641="","",MAX(0,SUMIFS('CHIT REGISTER (ಮಾಸಿಕ ಚಿಟ್ ನೋಂದಣ'!$D$5:$D$502,'CHIT REGISTER (ಮಾಸಿಕ ಚಿಟ್ ನೋಂದಣ'!$F$5:$F$502,C641,'CHIT REGISTER (ಮಾಸಿಕ ಚಿಟ್ ನೋಂದಣ'!$G$5:$G$502,"UNPAID")-IF(F641="PAID",N(D641),0)))</f>
        <v/>
      </c>
      <c r="F641" s="4"/>
      <c r="G641" s="12"/>
      <c r="H641" s="2"/>
    </row>
    <row r="642" spans="1:8">
      <c r="A642" s="1"/>
      <c r="B642" s="14"/>
      <c r="C642" s="1"/>
      <c r="D642" s="15"/>
      <c r="E642" s="9" t="str">
        <f>IF(C642="","",MAX(0,SUMIFS('CHIT REGISTER (ಮಾಸಿಕ ಚಿಟ್ ನೋಂದಣ'!$D$5:$D$502,'CHIT REGISTER (ಮಾಸಿಕ ಚಿಟ್ ನೋಂದಣ'!$F$5:$F$502,C642,'CHIT REGISTER (ಮಾಸಿಕ ಚಿಟ್ ನೋಂದಣ'!$G$5:$G$502,"UNPAID")-IF(F642="PAID",N(D642),0)))</f>
        <v/>
      </c>
      <c r="F642" s="3"/>
      <c r="G642" s="14"/>
      <c r="H642" s="1"/>
    </row>
    <row r="643" spans="1:8">
      <c r="A643" s="2"/>
      <c r="B643" s="12"/>
      <c r="C643" s="2"/>
      <c r="D643" s="13"/>
      <c r="E643" s="8" t="str">
        <f>IF(C643="","",MAX(0,SUMIFS('CHIT REGISTER (ಮಾಸಿಕ ಚಿಟ್ ನೋಂದಣ'!$D$5:$D$502,'CHIT REGISTER (ಮಾಸಿಕ ಚಿಟ್ ನೋಂದಣ'!$F$5:$F$502,C643,'CHIT REGISTER (ಮಾಸಿಕ ಚಿಟ್ ನೋಂದಣ'!$G$5:$G$502,"UNPAID")-IF(F643="PAID",N(D643),0)))</f>
        <v/>
      </c>
      <c r="F643" s="4"/>
      <c r="G643" s="12"/>
      <c r="H643" s="2"/>
    </row>
    <row r="644" spans="1:8">
      <c r="A644" s="1"/>
      <c r="B644" s="14"/>
      <c r="C644" s="1"/>
      <c r="D644" s="15"/>
      <c r="E644" s="9" t="str">
        <f>IF(C644="","",MAX(0,SUMIFS('CHIT REGISTER (ಮಾಸಿಕ ಚಿಟ್ ನೋಂದಣ'!$D$5:$D$502,'CHIT REGISTER (ಮಾಸಿಕ ಚಿಟ್ ನೋಂದಣ'!$F$5:$F$502,C644,'CHIT REGISTER (ಮಾಸಿಕ ಚಿಟ್ ನೋಂದಣ'!$G$5:$G$502,"UNPAID")-IF(F644="PAID",N(D644),0)))</f>
        <v/>
      </c>
      <c r="F644" s="3"/>
      <c r="G644" s="14"/>
      <c r="H644" s="1"/>
    </row>
    <row r="645" spans="1:8">
      <c r="A645" s="2"/>
      <c r="B645" s="12"/>
      <c r="C645" s="2"/>
      <c r="D645" s="13"/>
      <c r="E645" s="8" t="str">
        <f>IF(C645="","",MAX(0,SUMIFS('CHIT REGISTER (ಮಾಸಿಕ ಚಿಟ್ ನೋಂದಣ'!$D$5:$D$502,'CHIT REGISTER (ಮಾಸಿಕ ಚಿಟ್ ನೋಂದಣ'!$F$5:$F$502,C645,'CHIT REGISTER (ಮಾಸಿಕ ಚಿಟ್ ನೋಂದಣ'!$G$5:$G$502,"UNPAID")-IF(F645="PAID",N(D645),0)))</f>
        <v/>
      </c>
      <c r="F645" s="4"/>
      <c r="G645" s="12"/>
      <c r="H645" s="2"/>
    </row>
    <row r="646" spans="1:8">
      <c r="A646" s="1"/>
      <c r="B646" s="14"/>
      <c r="C646" s="1"/>
      <c r="D646" s="15"/>
      <c r="E646" s="9" t="str">
        <f>IF(C646="","",MAX(0,SUMIFS('CHIT REGISTER (ಮಾಸಿಕ ಚಿಟ್ ನೋಂದಣ'!$D$5:$D$502,'CHIT REGISTER (ಮಾಸಿಕ ಚಿಟ್ ನೋಂದಣ'!$F$5:$F$502,C646,'CHIT REGISTER (ಮಾಸಿಕ ಚಿಟ್ ನೋಂದಣ'!$G$5:$G$502,"UNPAID")-IF(F646="PAID",N(D646),0)))</f>
        <v/>
      </c>
      <c r="F646" s="3"/>
      <c r="G646" s="14"/>
      <c r="H646" s="1"/>
    </row>
    <row r="647" spans="1:8">
      <c r="A647" s="2"/>
      <c r="B647" s="12"/>
      <c r="C647" s="2"/>
      <c r="D647" s="13"/>
      <c r="E647" s="8" t="str">
        <f>IF(C647="","",MAX(0,SUMIFS('CHIT REGISTER (ಮಾಸಿಕ ಚಿಟ್ ನೋಂದಣ'!$D$5:$D$502,'CHIT REGISTER (ಮಾಸಿಕ ಚಿಟ್ ನೋಂದಣ'!$F$5:$F$502,C647,'CHIT REGISTER (ಮಾಸಿಕ ಚಿಟ್ ನೋಂದಣ'!$G$5:$G$502,"UNPAID")-IF(F647="PAID",N(D647),0)))</f>
        <v/>
      </c>
      <c r="F647" s="4"/>
      <c r="G647" s="12"/>
      <c r="H647" s="2"/>
    </row>
    <row r="648" spans="1:8">
      <c r="A648" s="1"/>
      <c r="B648" s="14"/>
      <c r="C648" s="1"/>
      <c r="D648" s="15"/>
      <c r="E648" s="9" t="str">
        <f>IF(C648="","",MAX(0,SUMIFS('CHIT REGISTER (ಮಾಸಿಕ ಚಿಟ್ ನೋಂದಣ'!$D$5:$D$502,'CHIT REGISTER (ಮಾಸಿಕ ಚಿಟ್ ನೋಂದಣ'!$F$5:$F$502,C648,'CHIT REGISTER (ಮಾಸಿಕ ಚಿಟ್ ನೋಂದಣ'!$G$5:$G$502,"UNPAID")-IF(F648="PAID",N(D648),0)))</f>
        <v/>
      </c>
      <c r="F648" s="3"/>
      <c r="G648" s="14"/>
      <c r="H648" s="1"/>
    </row>
    <row r="649" spans="1:8">
      <c r="A649" s="2"/>
      <c r="B649" s="12"/>
      <c r="C649" s="2"/>
      <c r="D649" s="13"/>
      <c r="E649" s="8" t="str">
        <f>IF(C649="","",MAX(0,SUMIFS('CHIT REGISTER (ಮಾಸಿಕ ಚಿಟ್ ನೋಂದಣ'!$D$5:$D$502,'CHIT REGISTER (ಮಾಸಿಕ ಚಿಟ್ ನೋಂದಣ'!$F$5:$F$502,C649,'CHIT REGISTER (ಮಾಸಿಕ ಚಿಟ್ ನೋಂದಣ'!$G$5:$G$502,"UNPAID")-IF(F649="PAID",N(D649),0)))</f>
        <v/>
      </c>
      <c r="F649" s="4"/>
      <c r="G649" s="12"/>
      <c r="H649" s="2"/>
    </row>
    <row r="650" spans="1:8">
      <c r="A650" s="1"/>
      <c r="B650" s="14"/>
      <c r="C650" s="1"/>
      <c r="D650" s="15"/>
      <c r="E650" s="9" t="str">
        <f>IF(C650="","",MAX(0,SUMIFS('CHIT REGISTER (ಮಾಸಿಕ ಚಿಟ್ ನೋಂದಣ'!$D$5:$D$502,'CHIT REGISTER (ಮಾಸಿಕ ಚಿಟ್ ನೋಂದಣ'!$F$5:$F$502,C650,'CHIT REGISTER (ಮಾಸಿಕ ಚಿಟ್ ನೋಂದಣ'!$G$5:$G$502,"UNPAID")-IF(F650="PAID",N(D650),0)))</f>
        <v/>
      </c>
      <c r="F650" s="3"/>
      <c r="G650" s="14"/>
      <c r="H650" s="1"/>
    </row>
    <row r="651" spans="1:8">
      <c r="A651" s="2"/>
      <c r="B651" s="12"/>
      <c r="C651" s="2"/>
      <c r="D651" s="13"/>
      <c r="E651" s="8" t="str">
        <f>IF(C651="","",MAX(0,SUMIFS('CHIT REGISTER (ಮಾಸಿಕ ಚಿಟ್ ನೋಂದಣ'!$D$5:$D$502,'CHIT REGISTER (ಮಾಸಿಕ ಚಿಟ್ ನೋಂದಣ'!$F$5:$F$502,C651,'CHIT REGISTER (ಮಾಸಿಕ ಚಿಟ್ ನೋಂದಣ'!$G$5:$G$502,"UNPAID")-IF(F651="PAID",N(D651),0)))</f>
        <v/>
      </c>
      <c r="F651" s="4"/>
      <c r="G651" s="12"/>
      <c r="H651" s="2"/>
    </row>
    <row r="652" spans="1:8">
      <c r="A652" s="1"/>
      <c r="B652" s="14"/>
      <c r="C652" s="1"/>
      <c r="D652" s="15"/>
      <c r="E652" s="9" t="str">
        <f>IF(C652="","",MAX(0,SUMIFS('CHIT REGISTER (ಮಾಸಿಕ ಚಿಟ್ ನೋಂದಣ'!$D$5:$D$502,'CHIT REGISTER (ಮಾಸಿಕ ಚಿಟ್ ನೋಂದಣ'!$F$5:$F$502,C652,'CHIT REGISTER (ಮಾಸಿಕ ಚಿಟ್ ನೋಂದಣ'!$G$5:$G$502,"UNPAID")-IF(F652="PAID",N(D652),0)))</f>
        <v/>
      </c>
      <c r="F652" s="3"/>
      <c r="G652" s="14"/>
      <c r="H652" s="1"/>
    </row>
    <row r="653" spans="1:8">
      <c r="A653" s="2"/>
      <c r="B653" s="12"/>
      <c r="C653" s="2"/>
      <c r="D653" s="13"/>
      <c r="E653" s="8" t="str">
        <f>IF(C653="","",MAX(0,SUMIFS('CHIT REGISTER (ಮಾಸಿಕ ಚಿಟ್ ನೋಂದಣ'!$D$5:$D$502,'CHIT REGISTER (ಮಾಸಿಕ ಚಿಟ್ ನೋಂದಣ'!$F$5:$F$502,C653,'CHIT REGISTER (ಮಾಸಿಕ ಚಿಟ್ ನೋಂದಣ'!$G$5:$G$502,"UNPAID")-IF(F653="PAID",N(D653),0)))</f>
        <v/>
      </c>
      <c r="F653" s="4"/>
      <c r="G653" s="12"/>
      <c r="H653" s="2"/>
    </row>
    <row r="654" spans="1:8">
      <c r="A654" s="1"/>
      <c r="B654" s="14"/>
      <c r="C654" s="1"/>
      <c r="D654" s="15"/>
      <c r="E654" s="9" t="str">
        <f>IF(C654="","",MAX(0,SUMIFS('CHIT REGISTER (ಮಾಸಿಕ ಚಿಟ್ ನೋಂದಣ'!$D$5:$D$502,'CHIT REGISTER (ಮಾಸಿಕ ಚಿಟ್ ನೋಂದಣ'!$F$5:$F$502,C654,'CHIT REGISTER (ಮಾಸಿಕ ಚಿಟ್ ನೋಂದಣ'!$G$5:$G$502,"UNPAID")-IF(F654="PAID",N(D654),0)))</f>
        <v/>
      </c>
      <c r="F654" s="3"/>
      <c r="G654" s="14"/>
      <c r="H654" s="1"/>
    </row>
    <row r="655" spans="1:8">
      <c r="A655" s="2"/>
      <c r="B655" s="12"/>
      <c r="C655" s="2"/>
      <c r="D655" s="13"/>
      <c r="E655" s="8" t="str">
        <f>IF(C655="","",MAX(0,SUMIFS('CHIT REGISTER (ಮಾಸಿಕ ಚಿಟ್ ನೋಂದಣ'!$D$5:$D$502,'CHIT REGISTER (ಮಾಸಿಕ ಚಿಟ್ ನೋಂದಣ'!$F$5:$F$502,C655,'CHIT REGISTER (ಮಾಸಿಕ ಚಿಟ್ ನೋಂದಣ'!$G$5:$G$502,"UNPAID")-IF(F655="PAID",N(D655),0)))</f>
        <v/>
      </c>
      <c r="F655" s="4"/>
      <c r="G655" s="12"/>
      <c r="H655" s="2"/>
    </row>
    <row r="656" spans="1:8">
      <c r="A656" s="1"/>
      <c r="B656" s="14"/>
      <c r="C656" s="1"/>
      <c r="D656" s="15"/>
      <c r="E656" s="9" t="str">
        <f>IF(C656="","",MAX(0,SUMIFS('CHIT REGISTER (ಮಾಸಿಕ ಚಿಟ್ ನೋಂದಣ'!$D$5:$D$502,'CHIT REGISTER (ಮಾಸಿಕ ಚಿಟ್ ನೋಂದಣ'!$F$5:$F$502,C656,'CHIT REGISTER (ಮಾಸಿಕ ಚಿಟ್ ನೋಂದಣ'!$G$5:$G$502,"UNPAID")-IF(F656="PAID",N(D656),0)))</f>
        <v/>
      </c>
      <c r="F656" s="3"/>
      <c r="G656" s="14"/>
      <c r="H656" s="1"/>
    </row>
    <row r="657" spans="1:8">
      <c r="A657" s="2"/>
      <c r="B657" s="12"/>
      <c r="C657" s="2"/>
      <c r="D657" s="13"/>
      <c r="E657" s="8" t="str">
        <f>IF(C657="","",MAX(0,SUMIFS('CHIT REGISTER (ಮಾಸಿಕ ಚಿಟ್ ನೋಂದಣ'!$D$5:$D$502,'CHIT REGISTER (ಮಾಸಿಕ ಚಿಟ್ ನೋಂದಣ'!$F$5:$F$502,C657,'CHIT REGISTER (ಮಾಸಿಕ ಚಿಟ್ ನೋಂದಣ'!$G$5:$G$502,"UNPAID")-IF(F657="PAID",N(D657),0)))</f>
        <v/>
      </c>
      <c r="F657" s="4"/>
      <c r="G657" s="12"/>
      <c r="H657" s="2"/>
    </row>
    <row r="658" spans="1:8">
      <c r="A658" s="1"/>
      <c r="B658" s="14"/>
      <c r="C658" s="1"/>
      <c r="D658" s="15"/>
      <c r="E658" s="9" t="str">
        <f>IF(C658="","",MAX(0,SUMIFS('CHIT REGISTER (ಮಾಸಿಕ ಚಿಟ್ ನೋಂದಣ'!$D$5:$D$502,'CHIT REGISTER (ಮಾಸಿಕ ಚಿಟ್ ನೋಂದಣ'!$F$5:$F$502,C658,'CHIT REGISTER (ಮಾಸಿಕ ಚಿಟ್ ನೋಂದಣ'!$G$5:$G$502,"UNPAID")-IF(F658="PAID",N(D658),0)))</f>
        <v/>
      </c>
      <c r="F658" s="3"/>
      <c r="G658" s="14"/>
      <c r="H658" s="1"/>
    </row>
    <row r="659" spans="1:8">
      <c r="A659" s="2"/>
      <c r="B659" s="12"/>
      <c r="C659" s="2"/>
      <c r="D659" s="13"/>
      <c r="E659" s="8" t="str">
        <f>IF(C659="","",MAX(0,SUMIFS('CHIT REGISTER (ಮಾಸಿಕ ಚಿಟ್ ನೋಂದಣ'!$D$5:$D$502,'CHIT REGISTER (ಮಾಸಿಕ ಚಿಟ್ ನೋಂದಣ'!$F$5:$F$502,C659,'CHIT REGISTER (ಮಾಸಿಕ ಚಿಟ್ ನೋಂದಣ'!$G$5:$G$502,"UNPAID")-IF(F659="PAID",N(D659),0)))</f>
        <v/>
      </c>
      <c r="F659" s="4"/>
      <c r="G659" s="12"/>
      <c r="H659" s="2"/>
    </row>
    <row r="660" spans="1:8">
      <c r="A660" s="1"/>
      <c r="B660" s="14"/>
      <c r="C660" s="1"/>
      <c r="D660" s="15"/>
      <c r="E660" s="9" t="str">
        <f>IF(C660="","",MAX(0,SUMIFS('CHIT REGISTER (ಮಾಸಿಕ ಚಿಟ್ ನೋಂದಣ'!$D$5:$D$502,'CHIT REGISTER (ಮಾಸಿಕ ಚಿಟ್ ನೋಂದಣ'!$F$5:$F$502,C660,'CHIT REGISTER (ಮಾಸಿಕ ಚಿಟ್ ನೋಂದಣ'!$G$5:$G$502,"UNPAID")-IF(F660="PAID",N(D660),0)))</f>
        <v/>
      </c>
      <c r="F660" s="3"/>
      <c r="G660" s="14"/>
      <c r="H660" s="1"/>
    </row>
    <row r="661" spans="1:8">
      <c r="A661" s="2"/>
      <c r="B661" s="12"/>
      <c r="C661" s="2"/>
      <c r="D661" s="13"/>
      <c r="E661" s="8" t="str">
        <f>IF(C661="","",MAX(0,SUMIFS('CHIT REGISTER (ಮಾಸಿಕ ಚಿಟ್ ನೋಂದಣ'!$D$5:$D$502,'CHIT REGISTER (ಮಾಸಿಕ ಚಿಟ್ ನೋಂದಣ'!$F$5:$F$502,C661,'CHIT REGISTER (ಮಾಸಿಕ ಚಿಟ್ ನೋಂದಣ'!$G$5:$G$502,"UNPAID")-IF(F661="PAID",N(D661),0)))</f>
        <v/>
      </c>
      <c r="F661" s="4"/>
      <c r="G661" s="12"/>
      <c r="H661" s="2"/>
    </row>
    <row r="662" spans="1:8">
      <c r="A662" s="1"/>
      <c r="B662" s="14"/>
      <c r="C662" s="1"/>
      <c r="D662" s="15"/>
      <c r="E662" s="9" t="str">
        <f>IF(C662="","",MAX(0,SUMIFS('CHIT REGISTER (ಮಾಸಿಕ ಚಿಟ್ ನೋಂದಣ'!$D$5:$D$502,'CHIT REGISTER (ಮಾಸಿಕ ಚಿಟ್ ನೋಂದಣ'!$F$5:$F$502,C662,'CHIT REGISTER (ಮಾಸಿಕ ಚಿಟ್ ನೋಂದಣ'!$G$5:$G$502,"UNPAID")-IF(F662="PAID",N(D662),0)))</f>
        <v/>
      </c>
      <c r="F662" s="3"/>
      <c r="G662" s="14"/>
      <c r="H662" s="1"/>
    </row>
    <row r="663" spans="1:8">
      <c r="A663" s="2"/>
      <c r="B663" s="12"/>
      <c r="C663" s="2"/>
      <c r="D663" s="13"/>
      <c r="E663" s="8" t="str">
        <f>IF(C663="","",MAX(0,SUMIFS('CHIT REGISTER (ಮಾಸಿಕ ಚಿಟ್ ನೋಂದಣ'!$D$5:$D$502,'CHIT REGISTER (ಮಾಸಿಕ ಚಿಟ್ ನೋಂದಣ'!$F$5:$F$502,C663,'CHIT REGISTER (ಮಾಸಿಕ ಚಿಟ್ ನೋಂದಣ'!$G$5:$G$502,"UNPAID")-IF(F663="PAID",N(D663),0)))</f>
        <v/>
      </c>
      <c r="F663" s="4"/>
      <c r="G663" s="12"/>
      <c r="H663" s="2"/>
    </row>
    <row r="664" spans="1:8">
      <c r="A664" s="1"/>
      <c r="B664" s="14"/>
      <c r="C664" s="1"/>
      <c r="D664" s="15"/>
      <c r="E664" s="9" t="str">
        <f>IF(C664="","",MAX(0,SUMIFS('CHIT REGISTER (ಮಾಸಿಕ ಚಿಟ್ ನೋಂದಣ'!$D$5:$D$502,'CHIT REGISTER (ಮಾಸಿಕ ಚಿಟ್ ನೋಂದಣ'!$F$5:$F$502,C664,'CHIT REGISTER (ಮಾಸಿಕ ಚಿಟ್ ನೋಂದಣ'!$G$5:$G$502,"UNPAID")-IF(F664="PAID",N(D664),0)))</f>
        <v/>
      </c>
      <c r="F664" s="3"/>
      <c r="G664" s="14"/>
      <c r="H664" s="1"/>
    </row>
    <row r="665" spans="1:8">
      <c r="A665" s="2"/>
      <c r="B665" s="12"/>
      <c r="C665" s="2"/>
      <c r="D665" s="13"/>
      <c r="E665" s="8" t="str">
        <f>IF(C665="","",MAX(0,SUMIFS('CHIT REGISTER (ಮಾಸಿಕ ಚಿಟ್ ನೋಂದಣ'!$D$5:$D$502,'CHIT REGISTER (ಮಾಸಿಕ ಚಿಟ್ ನೋಂದಣ'!$F$5:$F$502,C665,'CHIT REGISTER (ಮಾಸಿಕ ಚಿಟ್ ನೋಂದಣ'!$G$5:$G$502,"UNPAID")-IF(F665="PAID",N(D665),0)))</f>
        <v/>
      </c>
      <c r="F665" s="4"/>
      <c r="G665" s="12"/>
      <c r="H665" s="2"/>
    </row>
    <row r="666" spans="1:8">
      <c r="A666" s="1"/>
      <c r="B666" s="14"/>
      <c r="C666" s="1"/>
      <c r="D666" s="15"/>
      <c r="E666" s="9" t="str">
        <f>IF(C666="","",MAX(0,SUMIFS('CHIT REGISTER (ಮಾಸಿಕ ಚಿಟ್ ನೋಂದಣ'!$D$5:$D$502,'CHIT REGISTER (ಮಾಸಿಕ ಚಿಟ್ ನೋಂದಣ'!$F$5:$F$502,C666,'CHIT REGISTER (ಮಾಸಿಕ ಚಿಟ್ ನೋಂದಣ'!$G$5:$G$502,"UNPAID")-IF(F666="PAID",N(D666),0)))</f>
        <v/>
      </c>
      <c r="F666" s="3"/>
      <c r="G666" s="14"/>
      <c r="H666" s="1"/>
    </row>
    <row r="667" spans="1:8">
      <c r="A667" s="2"/>
      <c r="B667" s="12"/>
      <c r="C667" s="2"/>
      <c r="D667" s="13"/>
      <c r="E667" s="8" t="str">
        <f>IF(C667="","",MAX(0,SUMIFS('CHIT REGISTER (ಮಾಸಿಕ ಚಿಟ್ ನೋಂದಣ'!$D$5:$D$502,'CHIT REGISTER (ಮಾಸಿಕ ಚಿಟ್ ನೋಂದಣ'!$F$5:$F$502,C667,'CHIT REGISTER (ಮಾಸಿಕ ಚಿಟ್ ನೋಂದಣ'!$G$5:$G$502,"UNPAID")-IF(F667="PAID",N(D667),0)))</f>
        <v/>
      </c>
      <c r="F667" s="4"/>
      <c r="G667" s="12"/>
      <c r="H667" s="2"/>
    </row>
    <row r="668" spans="1:8">
      <c r="A668" s="1"/>
      <c r="B668" s="14"/>
      <c r="C668" s="1"/>
      <c r="D668" s="15"/>
      <c r="E668" s="9" t="str">
        <f>IF(C668="","",MAX(0,SUMIFS('CHIT REGISTER (ಮಾಸಿಕ ಚಿಟ್ ನೋಂದಣ'!$D$5:$D$502,'CHIT REGISTER (ಮಾಸಿಕ ಚಿಟ್ ನೋಂದಣ'!$F$5:$F$502,C668,'CHIT REGISTER (ಮಾಸಿಕ ಚಿಟ್ ನೋಂದಣ'!$G$5:$G$502,"UNPAID")-IF(F668="PAID",N(D668),0)))</f>
        <v/>
      </c>
      <c r="F668" s="3"/>
      <c r="G668" s="14"/>
      <c r="H668" s="1"/>
    </row>
    <row r="669" spans="1:8">
      <c r="A669" s="2"/>
      <c r="B669" s="12"/>
      <c r="C669" s="2"/>
      <c r="D669" s="13"/>
      <c r="E669" s="8" t="str">
        <f>IF(C669="","",MAX(0,SUMIFS('CHIT REGISTER (ಮಾಸಿಕ ಚಿಟ್ ನೋಂದಣ'!$D$5:$D$502,'CHIT REGISTER (ಮಾಸಿಕ ಚಿಟ್ ನೋಂದಣ'!$F$5:$F$502,C669,'CHIT REGISTER (ಮಾಸಿಕ ಚಿಟ್ ನೋಂದಣ'!$G$5:$G$502,"UNPAID")-IF(F669="PAID",N(D669),0)))</f>
        <v/>
      </c>
      <c r="F669" s="4"/>
      <c r="G669" s="12"/>
      <c r="H669" s="2"/>
    </row>
    <row r="670" spans="1:8">
      <c r="A670" s="1"/>
      <c r="B670" s="14"/>
      <c r="C670" s="1"/>
      <c r="D670" s="15"/>
      <c r="E670" s="9" t="str">
        <f>IF(C670="","",MAX(0,SUMIFS('CHIT REGISTER (ಮಾಸಿಕ ಚಿಟ್ ನೋಂದಣ'!$D$5:$D$502,'CHIT REGISTER (ಮಾಸಿಕ ಚಿಟ್ ನೋಂದಣ'!$F$5:$F$502,C670,'CHIT REGISTER (ಮಾಸಿಕ ಚಿಟ್ ನೋಂದಣ'!$G$5:$G$502,"UNPAID")-IF(F670="PAID",N(D670),0)))</f>
        <v/>
      </c>
      <c r="F670" s="3"/>
      <c r="G670" s="14"/>
      <c r="H670" s="1"/>
    </row>
    <row r="671" spans="1:8">
      <c r="A671" s="2"/>
      <c r="B671" s="12"/>
      <c r="C671" s="2"/>
      <c r="D671" s="13"/>
      <c r="E671" s="8" t="str">
        <f>IF(C671="","",MAX(0,SUMIFS('CHIT REGISTER (ಮಾಸಿಕ ಚಿಟ್ ನೋಂದಣ'!$D$5:$D$502,'CHIT REGISTER (ಮಾಸಿಕ ಚಿಟ್ ನೋಂದಣ'!$F$5:$F$502,C671,'CHIT REGISTER (ಮಾಸಿಕ ಚಿಟ್ ನೋಂದಣ'!$G$5:$G$502,"UNPAID")-IF(F671="PAID",N(D671),0)))</f>
        <v/>
      </c>
      <c r="F671" s="4"/>
      <c r="G671" s="12"/>
      <c r="H671" s="2"/>
    </row>
    <row r="672" spans="1:8">
      <c r="A672" s="1"/>
      <c r="B672" s="14"/>
      <c r="C672" s="1"/>
      <c r="D672" s="15"/>
      <c r="E672" s="9" t="str">
        <f>IF(C672="","",MAX(0,SUMIFS('CHIT REGISTER (ಮಾಸಿಕ ಚಿಟ್ ನೋಂದಣ'!$D$5:$D$502,'CHIT REGISTER (ಮಾಸಿಕ ಚಿಟ್ ನೋಂದಣ'!$F$5:$F$502,C672,'CHIT REGISTER (ಮಾಸಿಕ ಚಿಟ್ ನೋಂದಣ'!$G$5:$G$502,"UNPAID")-IF(F672="PAID",N(D672),0)))</f>
        <v/>
      </c>
      <c r="F672" s="3"/>
      <c r="G672" s="14"/>
      <c r="H672" s="1"/>
    </row>
    <row r="673" spans="1:8">
      <c r="A673" s="2"/>
      <c r="B673" s="12"/>
      <c r="C673" s="2"/>
      <c r="D673" s="13"/>
      <c r="E673" s="8" t="str">
        <f>IF(C673="","",MAX(0,SUMIFS('CHIT REGISTER (ಮಾಸಿಕ ಚಿಟ್ ನೋಂದಣ'!$D$5:$D$502,'CHIT REGISTER (ಮಾಸಿಕ ಚಿಟ್ ನೋಂದಣ'!$F$5:$F$502,C673,'CHIT REGISTER (ಮಾಸಿಕ ಚಿಟ್ ನೋಂದಣ'!$G$5:$G$502,"UNPAID")-IF(F673="PAID",N(D673),0)))</f>
        <v/>
      </c>
      <c r="F673" s="4"/>
      <c r="G673" s="12"/>
      <c r="H673" s="2"/>
    </row>
    <row r="674" spans="1:8">
      <c r="A674" s="1"/>
      <c r="B674" s="14"/>
      <c r="C674" s="1"/>
      <c r="D674" s="15"/>
      <c r="E674" s="9" t="str">
        <f>IF(C674="","",MAX(0,SUMIFS('CHIT REGISTER (ಮಾಸಿಕ ಚಿಟ್ ನೋಂದಣ'!$D$5:$D$502,'CHIT REGISTER (ಮಾಸಿಕ ಚಿಟ್ ನೋಂದಣ'!$F$5:$F$502,C674,'CHIT REGISTER (ಮಾಸಿಕ ಚಿಟ್ ನೋಂದಣ'!$G$5:$G$502,"UNPAID")-IF(F674="PAID",N(D674),0)))</f>
        <v/>
      </c>
      <c r="F674" s="3"/>
      <c r="G674" s="14"/>
      <c r="H674" s="1"/>
    </row>
    <row r="675" spans="1:8">
      <c r="A675" s="2"/>
      <c r="B675" s="12"/>
      <c r="C675" s="2"/>
      <c r="D675" s="13"/>
      <c r="E675" s="8" t="str">
        <f>IF(C675="","",MAX(0,SUMIFS('CHIT REGISTER (ಮಾಸಿಕ ಚಿಟ್ ನೋಂದಣ'!$D$5:$D$502,'CHIT REGISTER (ಮಾಸಿಕ ಚಿಟ್ ನೋಂದಣ'!$F$5:$F$502,C675,'CHIT REGISTER (ಮಾಸಿಕ ಚಿಟ್ ನೋಂದಣ'!$G$5:$G$502,"UNPAID")-IF(F675="PAID",N(D675),0)))</f>
        <v/>
      </c>
      <c r="F675" s="4"/>
      <c r="G675" s="12"/>
      <c r="H675" s="2"/>
    </row>
    <row r="676" spans="1:8">
      <c r="A676" s="1"/>
      <c r="B676" s="14"/>
      <c r="C676" s="1"/>
      <c r="D676" s="15"/>
      <c r="E676" s="9" t="str">
        <f>IF(C676="","",MAX(0,SUMIFS('CHIT REGISTER (ಮಾಸಿಕ ಚಿಟ್ ನೋಂದಣ'!$D$5:$D$502,'CHIT REGISTER (ಮಾಸಿಕ ಚಿಟ್ ನೋಂದಣ'!$F$5:$F$502,C676,'CHIT REGISTER (ಮಾಸಿಕ ಚಿಟ್ ನೋಂದಣ'!$G$5:$G$502,"UNPAID")-IF(F676="PAID",N(D676),0)))</f>
        <v/>
      </c>
      <c r="F676" s="3"/>
      <c r="G676" s="14"/>
      <c r="H676" s="1"/>
    </row>
    <row r="677" spans="1:8">
      <c r="A677" s="2"/>
      <c r="B677" s="12"/>
      <c r="C677" s="2"/>
      <c r="D677" s="13"/>
      <c r="E677" s="8" t="str">
        <f>IF(C677="","",MAX(0,SUMIFS('CHIT REGISTER (ಮಾಸಿಕ ಚಿಟ್ ನೋಂದಣ'!$D$5:$D$502,'CHIT REGISTER (ಮಾಸಿಕ ಚಿಟ್ ನೋಂದಣ'!$F$5:$F$502,C677,'CHIT REGISTER (ಮಾಸಿಕ ಚಿಟ್ ನೋಂದಣ'!$G$5:$G$502,"UNPAID")-IF(F677="PAID",N(D677),0)))</f>
        <v/>
      </c>
      <c r="F677" s="4"/>
      <c r="G677" s="12"/>
      <c r="H677" s="2"/>
    </row>
    <row r="678" spans="1:8">
      <c r="A678" s="1"/>
      <c r="B678" s="14"/>
      <c r="C678" s="1"/>
      <c r="D678" s="15"/>
      <c r="E678" s="9" t="str">
        <f>IF(C678="","",MAX(0,SUMIFS('CHIT REGISTER (ಮಾಸಿಕ ಚಿಟ್ ನೋಂದಣ'!$D$5:$D$502,'CHIT REGISTER (ಮಾಸಿಕ ಚಿಟ್ ನೋಂದಣ'!$F$5:$F$502,C678,'CHIT REGISTER (ಮಾಸಿಕ ಚಿಟ್ ನೋಂದಣ'!$G$5:$G$502,"UNPAID")-IF(F678="PAID",N(D678),0)))</f>
        <v/>
      </c>
      <c r="F678" s="3"/>
      <c r="G678" s="14"/>
      <c r="H678" s="1"/>
    </row>
    <row r="679" spans="1:8">
      <c r="A679" s="2"/>
      <c r="B679" s="12"/>
      <c r="C679" s="2"/>
      <c r="D679" s="13"/>
      <c r="E679" s="8" t="str">
        <f>IF(C679="","",MAX(0,SUMIFS('CHIT REGISTER (ಮಾಸಿಕ ಚಿಟ್ ನೋಂದಣ'!$D$5:$D$502,'CHIT REGISTER (ಮಾಸಿಕ ಚಿಟ್ ನೋಂದಣ'!$F$5:$F$502,C679,'CHIT REGISTER (ಮಾಸಿಕ ಚಿಟ್ ನೋಂದಣ'!$G$5:$G$502,"UNPAID")-IF(F679="PAID",N(D679),0)))</f>
        <v/>
      </c>
      <c r="F679" s="4"/>
      <c r="G679" s="12"/>
      <c r="H679" s="2"/>
    </row>
    <row r="680" spans="1:8">
      <c r="A680" s="1"/>
      <c r="B680" s="14"/>
      <c r="C680" s="1"/>
      <c r="D680" s="15"/>
      <c r="E680" s="9" t="str">
        <f>IF(C680="","",MAX(0,SUMIFS('CHIT REGISTER (ಮಾಸಿಕ ಚಿಟ್ ನೋಂದಣ'!$D$5:$D$502,'CHIT REGISTER (ಮಾಸಿಕ ಚಿಟ್ ನೋಂದಣ'!$F$5:$F$502,C680,'CHIT REGISTER (ಮಾಸಿಕ ಚಿಟ್ ನೋಂದಣ'!$G$5:$G$502,"UNPAID")-IF(F680="PAID",N(D680),0)))</f>
        <v/>
      </c>
      <c r="F680" s="3"/>
      <c r="G680" s="14"/>
      <c r="H680" s="1"/>
    </row>
    <row r="681" spans="1:8">
      <c r="A681" s="2"/>
      <c r="B681" s="12"/>
      <c r="C681" s="2"/>
      <c r="D681" s="13"/>
      <c r="E681" s="8" t="str">
        <f>IF(C681="","",MAX(0,SUMIFS('CHIT REGISTER (ಮಾಸಿಕ ಚಿಟ್ ನೋಂದಣ'!$D$5:$D$502,'CHIT REGISTER (ಮಾಸಿಕ ಚಿಟ್ ನೋಂದಣ'!$F$5:$F$502,C681,'CHIT REGISTER (ಮಾಸಿಕ ಚಿಟ್ ನೋಂದಣ'!$G$5:$G$502,"UNPAID")-IF(F681="PAID",N(D681),0)))</f>
        <v/>
      </c>
      <c r="F681" s="4"/>
      <c r="G681" s="12"/>
      <c r="H681" s="2"/>
    </row>
    <row r="682" spans="1:8">
      <c r="A682" s="1"/>
      <c r="B682" s="14"/>
      <c r="C682" s="1"/>
      <c r="D682" s="15"/>
      <c r="E682" s="9" t="str">
        <f>IF(C682="","",MAX(0,SUMIFS('CHIT REGISTER (ಮಾಸಿಕ ಚಿಟ್ ನೋಂದಣ'!$D$5:$D$502,'CHIT REGISTER (ಮಾಸಿಕ ಚಿಟ್ ನೋಂದಣ'!$F$5:$F$502,C682,'CHIT REGISTER (ಮಾಸಿಕ ಚಿಟ್ ನೋಂದಣ'!$G$5:$G$502,"UNPAID")-IF(F682="PAID",N(D682),0)))</f>
        <v/>
      </c>
      <c r="F682" s="3"/>
      <c r="G682" s="14"/>
      <c r="H682" s="1"/>
    </row>
    <row r="683" spans="1:8">
      <c r="A683" s="2"/>
      <c r="B683" s="12"/>
      <c r="C683" s="2"/>
      <c r="D683" s="13"/>
      <c r="E683" s="8" t="str">
        <f>IF(C683="","",MAX(0,SUMIFS('CHIT REGISTER (ಮಾಸಿಕ ಚಿಟ್ ನೋಂದಣ'!$D$5:$D$502,'CHIT REGISTER (ಮಾಸಿಕ ಚಿಟ್ ನೋಂದಣ'!$F$5:$F$502,C683,'CHIT REGISTER (ಮಾಸಿಕ ಚಿಟ್ ನೋಂದಣ'!$G$5:$G$502,"UNPAID")-IF(F683="PAID",N(D683),0)))</f>
        <v/>
      </c>
      <c r="F683" s="4"/>
      <c r="G683" s="12"/>
      <c r="H683" s="2"/>
    </row>
    <row r="684" spans="1:8">
      <c r="A684" s="1"/>
      <c r="B684" s="14"/>
      <c r="C684" s="1"/>
      <c r="D684" s="15"/>
      <c r="E684" s="9" t="str">
        <f>IF(C684="","",MAX(0,SUMIFS('CHIT REGISTER (ಮಾಸಿಕ ಚಿಟ್ ನೋಂದಣ'!$D$5:$D$502,'CHIT REGISTER (ಮಾಸಿಕ ಚಿಟ್ ನೋಂದಣ'!$F$5:$F$502,C684,'CHIT REGISTER (ಮಾಸಿಕ ಚಿಟ್ ನೋಂದಣ'!$G$5:$G$502,"UNPAID")-IF(F684="PAID",N(D684),0)))</f>
        <v/>
      </c>
      <c r="F684" s="3"/>
      <c r="G684" s="14"/>
      <c r="H684" s="1"/>
    </row>
    <row r="685" spans="1:8">
      <c r="A685" s="2"/>
      <c r="B685" s="12"/>
      <c r="C685" s="2"/>
      <c r="D685" s="13"/>
      <c r="E685" s="8" t="str">
        <f>IF(C685="","",MAX(0,SUMIFS('CHIT REGISTER (ಮಾಸಿಕ ಚಿಟ್ ನೋಂದಣ'!$D$5:$D$502,'CHIT REGISTER (ಮಾಸಿಕ ಚಿಟ್ ನೋಂದಣ'!$F$5:$F$502,C685,'CHIT REGISTER (ಮಾಸಿಕ ಚಿಟ್ ನೋಂದಣ'!$G$5:$G$502,"UNPAID")-IF(F685="PAID",N(D685),0)))</f>
        <v/>
      </c>
      <c r="F685" s="4"/>
      <c r="G685" s="12"/>
      <c r="H685" s="2"/>
    </row>
    <row r="686" spans="1:8">
      <c r="A686" s="1"/>
      <c r="B686" s="14"/>
      <c r="C686" s="1"/>
      <c r="D686" s="15"/>
      <c r="E686" s="9" t="str">
        <f>IF(C686="","",MAX(0,SUMIFS('CHIT REGISTER (ಮಾಸಿಕ ಚಿಟ್ ನೋಂದಣ'!$D$5:$D$502,'CHIT REGISTER (ಮಾಸಿಕ ಚಿಟ್ ನೋಂದಣ'!$F$5:$F$502,C686,'CHIT REGISTER (ಮಾಸಿಕ ಚಿಟ್ ನೋಂದಣ'!$G$5:$G$502,"UNPAID")-IF(F686="PAID",N(D686),0)))</f>
        <v/>
      </c>
      <c r="F686" s="3"/>
      <c r="G686" s="14"/>
      <c r="H686" s="1"/>
    </row>
    <row r="687" spans="1:8">
      <c r="A687" s="2"/>
      <c r="B687" s="12"/>
      <c r="C687" s="2"/>
      <c r="D687" s="13"/>
      <c r="E687" s="8" t="str">
        <f>IF(C687="","",MAX(0,SUMIFS('CHIT REGISTER (ಮಾಸಿಕ ಚಿಟ್ ನೋಂದಣ'!$D$5:$D$502,'CHIT REGISTER (ಮಾಸಿಕ ಚಿಟ್ ನೋಂದಣ'!$F$5:$F$502,C687,'CHIT REGISTER (ಮಾಸಿಕ ಚಿಟ್ ನೋಂದಣ'!$G$5:$G$502,"UNPAID")-IF(F687="PAID",N(D687),0)))</f>
        <v/>
      </c>
      <c r="F687" s="4"/>
      <c r="G687" s="12"/>
      <c r="H687" s="2"/>
    </row>
    <row r="688" spans="1:8">
      <c r="A688" s="1"/>
      <c r="B688" s="14"/>
      <c r="C688" s="1"/>
      <c r="D688" s="15"/>
      <c r="E688" s="9" t="str">
        <f>IF(C688="","",MAX(0,SUMIFS('CHIT REGISTER (ಮಾಸಿಕ ಚಿಟ್ ನೋಂದಣ'!$D$5:$D$502,'CHIT REGISTER (ಮಾಸಿಕ ಚಿಟ್ ನೋಂದಣ'!$F$5:$F$502,C688,'CHIT REGISTER (ಮಾಸಿಕ ಚಿಟ್ ನೋಂದಣ'!$G$5:$G$502,"UNPAID")-IF(F688="PAID",N(D688),0)))</f>
        <v/>
      </c>
      <c r="F688" s="3"/>
      <c r="G688" s="14"/>
      <c r="H688" s="1"/>
    </row>
    <row r="689" spans="1:8">
      <c r="A689" s="2"/>
      <c r="B689" s="12"/>
      <c r="C689" s="2"/>
      <c r="D689" s="13"/>
      <c r="E689" s="8" t="str">
        <f>IF(C689="","",MAX(0,SUMIFS('CHIT REGISTER (ಮಾಸಿಕ ಚಿಟ್ ನೋಂದಣ'!$D$5:$D$502,'CHIT REGISTER (ಮಾಸಿಕ ಚಿಟ್ ನೋಂದಣ'!$F$5:$F$502,C689,'CHIT REGISTER (ಮಾಸಿಕ ಚಿಟ್ ನೋಂದಣ'!$G$5:$G$502,"UNPAID")-IF(F689="PAID",N(D689),0)))</f>
        <v/>
      </c>
      <c r="F689" s="4"/>
      <c r="G689" s="12"/>
      <c r="H689" s="2"/>
    </row>
    <row r="690" spans="1:8">
      <c r="A690" s="1"/>
      <c r="B690" s="14"/>
      <c r="C690" s="1"/>
      <c r="D690" s="15"/>
      <c r="E690" s="9" t="str">
        <f>IF(C690="","",MAX(0,SUMIFS('CHIT REGISTER (ಮಾಸಿಕ ಚಿಟ್ ನೋಂದಣ'!$D$5:$D$502,'CHIT REGISTER (ಮಾಸಿಕ ಚಿಟ್ ನೋಂದಣ'!$F$5:$F$502,C690,'CHIT REGISTER (ಮಾಸಿಕ ಚಿಟ್ ನೋಂದಣ'!$G$5:$G$502,"UNPAID")-IF(F690="PAID",N(D690),0)))</f>
        <v/>
      </c>
      <c r="F690" s="3"/>
      <c r="G690" s="14"/>
      <c r="H690" s="1"/>
    </row>
    <row r="691" spans="1:8">
      <c r="A691" s="2"/>
      <c r="B691" s="12"/>
      <c r="C691" s="2"/>
      <c r="D691" s="13"/>
      <c r="E691" s="8" t="str">
        <f>IF(C691="","",MAX(0,SUMIFS('CHIT REGISTER (ಮಾಸಿಕ ಚಿಟ್ ನೋಂದಣ'!$D$5:$D$502,'CHIT REGISTER (ಮಾಸಿಕ ಚಿಟ್ ನೋಂದಣ'!$F$5:$F$502,C691,'CHIT REGISTER (ಮಾಸಿಕ ಚಿಟ್ ನೋಂದಣ'!$G$5:$G$502,"UNPAID")-IF(F691="PAID",N(D691),0)))</f>
        <v/>
      </c>
      <c r="F691" s="4"/>
      <c r="G691" s="12"/>
      <c r="H691" s="2"/>
    </row>
    <row r="692" spans="1:8">
      <c r="A692" s="1"/>
      <c r="B692" s="14"/>
      <c r="C692" s="1"/>
      <c r="D692" s="15"/>
      <c r="E692" s="9" t="str">
        <f>IF(C692="","",MAX(0,SUMIFS('CHIT REGISTER (ಮಾಸಿಕ ಚಿಟ್ ನೋಂದಣ'!$D$5:$D$502,'CHIT REGISTER (ಮಾಸಿಕ ಚಿಟ್ ನೋಂದಣ'!$F$5:$F$502,C692,'CHIT REGISTER (ಮಾಸಿಕ ಚಿಟ್ ನೋಂದಣ'!$G$5:$G$502,"UNPAID")-IF(F692="PAID",N(D692),0)))</f>
        <v/>
      </c>
      <c r="F692" s="3"/>
      <c r="G692" s="14"/>
      <c r="H692" s="1"/>
    </row>
    <row r="693" spans="1:8">
      <c r="A693" s="2"/>
      <c r="B693" s="12"/>
      <c r="C693" s="2"/>
      <c r="D693" s="13"/>
      <c r="E693" s="8" t="str">
        <f>IF(C693="","",MAX(0,SUMIFS('CHIT REGISTER (ಮಾಸಿಕ ಚಿಟ್ ನೋಂದಣ'!$D$5:$D$502,'CHIT REGISTER (ಮಾಸಿಕ ಚಿಟ್ ನೋಂದಣ'!$F$5:$F$502,C693,'CHIT REGISTER (ಮಾಸಿಕ ಚಿಟ್ ನೋಂದಣ'!$G$5:$G$502,"UNPAID")-IF(F693="PAID",N(D693),0)))</f>
        <v/>
      </c>
      <c r="F693" s="4"/>
      <c r="G693" s="12"/>
      <c r="H693" s="2"/>
    </row>
    <row r="694" spans="1:8">
      <c r="A694" s="1"/>
      <c r="B694" s="14"/>
      <c r="C694" s="1"/>
      <c r="D694" s="15"/>
      <c r="E694" s="9" t="str">
        <f>IF(C694="","",MAX(0,SUMIFS('CHIT REGISTER (ಮಾಸಿಕ ಚಿಟ್ ನೋಂದಣ'!$D$5:$D$502,'CHIT REGISTER (ಮಾಸಿಕ ಚಿಟ್ ನೋಂದಣ'!$F$5:$F$502,C694,'CHIT REGISTER (ಮಾಸಿಕ ಚಿಟ್ ನೋಂದಣ'!$G$5:$G$502,"UNPAID")-IF(F694="PAID",N(D694),0)))</f>
        <v/>
      </c>
      <c r="F694" s="3"/>
      <c r="G694" s="14"/>
      <c r="H694" s="1"/>
    </row>
    <row r="695" spans="1:8">
      <c r="A695" s="2"/>
      <c r="B695" s="12"/>
      <c r="C695" s="2"/>
      <c r="D695" s="13"/>
      <c r="E695" s="8" t="str">
        <f>IF(C695="","",MAX(0,SUMIFS('CHIT REGISTER (ಮಾಸಿಕ ಚಿಟ್ ನೋಂದಣ'!$D$5:$D$502,'CHIT REGISTER (ಮಾಸಿಕ ಚಿಟ್ ನೋಂದಣ'!$F$5:$F$502,C695,'CHIT REGISTER (ಮಾಸಿಕ ಚಿಟ್ ನೋಂದಣ'!$G$5:$G$502,"UNPAID")-IF(F695="PAID",N(D695),0)))</f>
        <v/>
      </c>
      <c r="F695" s="4"/>
      <c r="G695" s="12"/>
      <c r="H695" s="2"/>
    </row>
    <row r="696" spans="1:8">
      <c r="A696" s="1"/>
      <c r="B696" s="14"/>
      <c r="C696" s="1"/>
      <c r="D696" s="15"/>
      <c r="E696" s="9" t="str">
        <f>IF(C696="","",MAX(0,SUMIFS('CHIT REGISTER (ಮಾಸಿಕ ಚಿಟ್ ನೋಂದಣ'!$D$5:$D$502,'CHIT REGISTER (ಮಾಸಿಕ ಚಿಟ್ ನೋಂದಣ'!$F$5:$F$502,C696,'CHIT REGISTER (ಮಾಸಿಕ ಚಿಟ್ ನೋಂದಣ'!$G$5:$G$502,"UNPAID")-IF(F696="PAID",N(D696),0)))</f>
        <v/>
      </c>
      <c r="F696" s="3"/>
      <c r="G696" s="14"/>
      <c r="H696" s="1"/>
    </row>
    <row r="697" spans="1:8">
      <c r="A697" s="2"/>
      <c r="B697" s="12"/>
      <c r="C697" s="2"/>
      <c r="D697" s="13"/>
      <c r="E697" s="8" t="str">
        <f>IF(C697="","",MAX(0,SUMIFS('CHIT REGISTER (ಮಾಸಿಕ ಚಿಟ್ ನೋಂದಣ'!$D$5:$D$502,'CHIT REGISTER (ಮಾಸಿಕ ಚಿಟ್ ನೋಂದಣ'!$F$5:$F$502,C697,'CHIT REGISTER (ಮಾಸಿಕ ಚಿಟ್ ನೋಂದಣ'!$G$5:$G$502,"UNPAID")-IF(F697="PAID",N(D697),0)))</f>
        <v/>
      </c>
      <c r="F697" s="4"/>
      <c r="G697" s="12"/>
      <c r="H697" s="2"/>
    </row>
    <row r="698" spans="1:8">
      <c r="A698" s="1"/>
      <c r="B698" s="14"/>
      <c r="C698" s="1"/>
      <c r="D698" s="15"/>
      <c r="E698" s="9" t="str">
        <f>IF(C698="","",MAX(0,SUMIFS('CHIT REGISTER (ಮಾಸಿಕ ಚಿಟ್ ನೋಂದಣ'!$D$5:$D$502,'CHIT REGISTER (ಮಾಸಿಕ ಚಿಟ್ ನೋಂದಣ'!$F$5:$F$502,C698,'CHIT REGISTER (ಮಾಸಿಕ ಚಿಟ್ ನೋಂದಣ'!$G$5:$G$502,"UNPAID")-IF(F698="PAID",N(D698),0)))</f>
        <v/>
      </c>
      <c r="F698" s="3"/>
      <c r="G698" s="14"/>
      <c r="H698" s="1"/>
    </row>
    <row r="699" spans="1:8">
      <c r="A699" s="2"/>
      <c r="B699" s="12"/>
      <c r="C699" s="2"/>
      <c r="D699" s="13"/>
      <c r="E699" s="8" t="str">
        <f>IF(C699="","",MAX(0,SUMIFS('CHIT REGISTER (ಮಾಸಿಕ ಚಿಟ್ ನೋಂದಣ'!$D$5:$D$502,'CHIT REGISTER (ಮಾಸಿಕ ಚಿಟ್ ನೋಂದಣ'!$F$5:$F$502,C699,'CHIT REGISTER (ಮಾಸಿಕ ಚಿಟ್ ನೋಂದಣ'!$G$5:$G$502,"UNPAID")-IF(F699="PAID",N(D699),0)))</f>
        <v/>
      </c>
      <c r="F699" s="4"/>
      <c r="G699" s="12"/>
      <c r="H699" s="2"/>
    </row>
    <row r="700" spans="1:8">
      <c r="A700" s="1"/>
      <c r="B700" s="14"/>
      <c r="C700" s="1"/>
      <c r="D700" s="15"/>
      <c r="E700" s="9" t="str">
        <f>IF(C700="","",MAX(0,SUMIFS('CHIT REGISTER (ಮಾಸಿಕ ಚಿಟ್ ನೋಂದಣ'!$D$5:$D$502,'CHIT REGISTER (ಮಾಸಿಕ ಚಿಟ್ ನೋಂದಣ'!$F$5:$F$502,C700,'CHIT REGISTER (ಮಾಸಿಕ ಚಿಟ್ ನೋಂದಣ'!$G$5:$G$502,"UNPAID")-IF(F700="PAID",N(D700),0)))</f>
        <v/>
      </c>
      <c r="F700" s="3"/>
      <c r="G700" s="14"/>
      <c r="H700" s="1"/>
    </row>
    <row r="701" spans="1:8">
      <c r="A701" s="2"/>
      <c r="B701" s="12"/>
      <c r="C701" s="2"/>
      <c r="D701" s="13"/>
      <c r="E701" s="8" t="str">
        <f>IF(C701="","",MAX(0,SUMIFS('CHIT REGISTER (ಮಾಸಿಕ ಚಿಟ್ ನೋಂದಣ'!$D$5:$D$502,'CHIT REGISTER (ಮಾಸಿಕ ಚಿಟ್ ನೋಂದಣ'!$F$5:$F$502,C701,'CHIT REGISTER (ಮಾಸಿಕ ಚಿಟ್ ನೋಂದಣ'!$G$5:$G$502,"UNPAID")-IF(F701="PAID",N(D701),0)))</f>
        <v/>
      </c>
      <c r="F701" s="4"/>
      <c r="G701" s="12"/>
      <c r="H701" s="2"/>
    </row>
    <row r="702" spans="1:8">
      <c r="A702" s="1"/>
      <c r="B702" s="14"/>
      <c r="C702" s="1"/>
      <c r="D702" s="15"/>
      <c r="E702" s="9" t="str">
        <f>IF(C702="","",MAX(0,SUMIFS('CHIT REGISTER (ಮಾಸಿಕ ಚಿಟ್ ನೋಂದಣ'!$D$5:$D$502,'CHIT REGISTER (ಮಾಸಿಕ ಚಿಟ್ ನೋಂದಣ'!$F$5:$F$502,C702,'CHIT REGISTER (ಮಾಸಿಕ ಚಿಟ್ ನೋಂದಣ'!$G$5:$G$502,"UNPAID")-IF(F702="PAID",N(D702),0)))</f>
        <v/>
      </c>
      <c r="F702" s="3"/>
      <c r="G702" s="14"/>
      <c r="H702" s="1"/>
    </row>
    <row r="703" spans="1:8">
      <c r="A703" s="2"/>
      <c r="B703" s="12"/>
      <c r="C703" s="2"/>
      <c r="D703" s="13"/>
      <c r="E703" s="8" t="str">
        <f>IF(C703="","",MAX(0,SUMIFS('CHIT REGISTER (ಮಾಸಿಕ ಚಿಟ್ ನೋಂದಣ'!$D$5:$D$502,'CHIT REGISTER (ಮಾಸಿಕ ಚಿಟ್ ನೋಂದಣ'!$F$5:$F$502,C703,'CHIT REGISTER (ಮಾಸಿಕ ಚಿಟ್ ನೋಂದಣ'!$G$5:$G$502,"UNPAID")-IF(F703="PAID",N(D703),0)))</f>
        <v/>
      </c>
      <c r="F703" s="4"/>
      <c r="G703" s="12"/>
      <c r="H703" s="2"/>
    </row>
    <row r="704" spans="1:8">
      <c r="A704" s="1"/>
      <c r="B704" s="14"/>
      <c r="C704" s="1"/>
      <c r="D704" s="15"/>
      <c r="E704" s="9" t="str">
        <f>IF(C704="","",MAX(0,SUMIFS('CHIT REGISTER (ಮಾಸಿಕ ಚಿಟ್ ನೋಂದಣ'!$D$5:$D$502,'CHIT REGISTER (ಮಾಸಿಕ ಚಿಟ್ ನೋಂದಣ'!$F$5:$F$502,C704,'CHIT REGISTER (ಮಾಸಿಕ ಚಿಟ್ ನೋಂದಣ'!$G$5:$G$502,"UNPAID")-IF(F704="PAID",N(D704),0)))</f>
        <v/>
      </c>
      <c r="F704" s="3"/>
      <c r="G704" s="14"/>
      <c r="H704" s="1"/>
    </row>
    <row r="705" spans="1:8">
      <c r="A705" s="2"/>
      <c r="B705" s="12"/>
      <c r="C705" s="2"/>
      <c r="D705" s="13"/>
      <c r="E705" s="8" t="str">
        <f>IF(C705="","",MAX(0,SUMIFS('CHIT REGISTER (ಮಾಸಿಕ ಚಿಟ್ ನೋಂದಣ'!$D$5:$D$502,'CHIT REGISTER (ಮಾಸಿಕ ಚಿಟ್ ನೋಂದಣ'!$F$5:$F$502,C705,'CHIT REGISTER (ಮಾಸಿಕ ಚಿಟ್ ನೋಂದಣ'!$G$5:$G$502,"UNPAID")-IF(F705="PAID",N(D705),0)))</f>
        <v/>
      </c>
      <c r="F705" s="4"/>
      <c r="G705" s="12"/>
      <c r="H705" s="2"/>
    </row>
    <row r="706" spans="1:8">
      <c r="A706" s="1"/>
      <c r="B706" s="14"/>
      <c r="C706" s="1"/>
      <c r="D706" s="15"/>
      <c r="E706" s="9" t="str">
        <f>IF(C706="","",MAX(0,SUMIFS('CHIT REGISTER (ಮಾಸಿಕ ಚಿಟ್ ನೋಂದಣ'!$D$5:$D$502,'CHIT REGISTER (ಮಾಸಿಕ ಚಿಟ್ ನೋಂದಣ'!$F$5:$F$502,C706,'CHIT REGISTER (ಮಾಸಿಕ ಚಿಟ್ ನೋಂದಣ'!$G$5:$G$502,"UNPAID")-IF(F706="PAID",N(D706),0)))</f>
        <v/>
      </c>
      <c r="F706" s="3"/>
      <c r="G706" s="14"/>
      <c r="H706" s="1"/>
    </row>
    <row r="707" spans="1:8">
      <c r="A707" s="2"/>
      <c r="B707" s="12"/>
      <c r="C707" s="2"/>
      <c r="D707" s="13"/>
      <c r="E707" s="8" t="str">
        <f>IF(C707="","",MAX(0,SUMIFS('CHIT REGISTER (ಮಾಸಿಕ ಚಿಟ್ ನೋಂದಣ'!$D$5:$D$502,'CHIT REGISTER (ಮಾಸಿಕ ಚಿಟ್ ನೋಂದಣ'!$F$5:$F$502,C707,'CHIT REGISTER (ಮಾಸಿಕ ಚಿಟ್ ನೋಂದಣ'!$G$5:$G$502,"UNPAID")-IF(F707="PAID",N(D707),0)))</f>
        <v/>
      </c>
      <c r="F707" s="4"/>
      <c r="G707" s="12"/>
      <c r="H707" s="2"/>
    </row>
    <row r="708" spans="1:8">
      <c r="A708" s="1"/>
      <c r="B708" s="14"/>
      <c r="C708" s="1"/>
      <c r="D708" s="15"/>
      <c r="E708" s="9" t="str">
        <f>IF(C708="","",MAX(0,SUMIFS('CHIT REGISTER (ಮಾಸಿಕ ಚಿಟ್ ನೋಂದಣ'!$D$5:$D$502,'CHIT REGISTER (ಮಾಸಿಕ ಚಿಟ್ ನೋಂದಣ'!$F$5:$F$502,C708,'CHIT REGISTER (ಮಾಸಿಕ ಚಿಟ್ ನೋಂದಣ'!$G$5:$G$502,"UNPAID")-IF(F708="PAID",N(D708),0)))</f>
        <v/>
      </c>
      <c r="F708" s="3"/>
      <c r="G708" s="14"/>
      <c r="H708" s="1"/>
    </row>
    <row r="709" spans="1:8">
      <c r="A709" s="2"/>
      <c r="B709" s="12"/>
      <c r="C709" s="2"/>
      <c r="D709" s="13"/>
      <c r="E709" s="8" t="str">
        <f>IF(C709="","",MAX(0,SUMIFS('CHIT REGISTER (ಮಾಸಿಕ ಚಿಟ್ ನೋಂದಣ'!$D$5:$D$502,'CHIT REGISTER (ಮಾಸಿಕ ಚಿಟ್ ನೋಂದಣ'!$F$5:$F$502,C709,'CHIT REGISTER (ಮಾಸಿಕ ಚಿಟ್ ನೋಂದಣ'!$G$5:$G$502,"UNPAID")-IF(F709="PAID",N(D709),0)))</f>
        <v/>
      </c>
      <c r="F709" s="4"/>
      <c r="G709" s="12"/>
      <c r="H709" s="2"/>
    </row>
    <row r="710" spans="1:8">
      <c r="A710" s="1"/>
      <c r="B710" s="14"/>
      <c r="C710" s="1"/>
      <c r="D710" s="15"/>
      <c r="E710" s="9" t="str">
        <f>IF(C710="","",MAX(0,SUMIFS('CHIT REGISTER (ಮಾಸಿಕ ಚಿಟ್ ನೋಂದಣ'!$D$5:$D$502,'CHIT REGISTER (ಮಾಸಿಕ ಚಿಟ್ ನೋಂದಣ'!$F$5:$F$502,C710,'CHIT REGISTER (ಮಾಸಿಕ ಚಿಟ್ ನೋಂದಣ'!$G$5:$G$502,"UNPAID")-IF(F710="PAID",N(D710),0)))</f>
        <v/>
      </c>
      <c r="F710" s="3"/>
      <c r="G710" s="14"/>
      <c r="H710" s="1"/>
    </row>
    <row r="711" spans="1:8">
      <c r="A711" s="2"/>
      <c r="B711" s="12"/>
      <c r="C711" s="2"/>
      <c r="D711" s="13"/>
      <c r="E711" s="8" t="str">
        <f>IF(C711="","",MAX(0,SUMIFS('CHIT REGISTER (ಮಾಸಿಕ ಚಿಟ್ ನೋಂದಣ'!$D$5:$D$502,'CHIT REGISTER (ಮಾಸಿಕ ಚಿಟ್ ನೋಂದಣ'!$F$5:$F$502,C711,'CHIT REGISTER (ಮಾಸಿಕ ಚಿಟ್ ನೋಂದಣ'!$G$5:$G$502,"UNPAID")-IF(F711="PAID",N(D711),0)))</f>
        <v/>
      </c>
      <c r="F711" s="4"/>
      <c r="G711" s="12"/>
      <c r="H711" s="2"/>
    </row>
    <row r="712" spans="1:8">
      <c r="A712" s="1"/>
      <c r="B712" s="14"/>
      <c r="C712" s="1"/>
      <c r="D712" s="15"/>
      <c r="E712" s="9" t="str">
        <f>IF(C712="","",MAX(0,SUMIFS('CHIT REGISTER (ಮಾಸಿಕ ಚಿಟ್ ನೋಂದಣ'!$D$5:$D$502,'CHIT REGISTER (ಮಾಸಿಕ ಚಿಟ್ ನೋಂದಣ'!$F$5:$F$502,C712,'CHIT REGISTER (ಮಾಸಿಕ ಚಿಟ್ ನೋಂದಣ'!$G$5:$G$502,"UNPAID")-IF(F712="PAID",N(D712),0)))</f>
        <v/>
      </c>
      <c r="F712" s="3"/>
      <c r="G712" s="14"/>
      <c r="H712" s="1"/>
    </row>
    <row r="713" spans="1:8">
      <c r="A713" s="2"/>
      <c r="B713" s="12"/>
      <c r="C713" s="2"/>
      <c r="D713" s="13"/>
      <c r="E713" s="8" t="str">
        <f>IF(C713="","",MAX(0,SUMIFS('CHIT REGISTER (ಮಾಸಿಕ ಚಿಟ್ ನೋಂದಣ'!$D$5:$D$502,'CHIT REGISTER (ಮಾಸಿಕ ಚಿಟ್ ನೋಂದಣ'!$F$5:$F$502,C713,'CHIT REGISTER (ಮಾಸಿಕ ಚಿಟ್ ನೋಂದಣ'!$G$5:$G$502,"UNPAID")-IF(F713="PAID",N(D713),0)))</f>
        <v/>
      </c>
      <c r="F713" s="4"/>
      <c r="G713" s="12"/>
      <c r="H713" s="2"/>
    </row>
    <row r="714" spans="1:8">
      <c r="A714" s="1"/>
      <c r="B714" s="14"/>
      <c r="C714" s="1"/>
      <c r="D714" s="15"/>
      <c r="E714" s="9" t="str">
        <f>IF(C714="","",MAX(0,SUMIFS('CHIT REGISTER (ಮಾಸಿಕ ಚಿಟ್ ನೋಂದಣ'!$D$5:$D$502,'CHIT REGISTER (ಮಾಸಿಕ ಚಿಟ್ ನೋಂದಣ'!$F$5:$F$502,C714,'CHIT REGISTER (ಮಾಸಿಕ ಚಿಟ್ ನೋಂದಣ'!$G$5:$G$502,"UNPAID")-IF(F714="PAID",N(D714),0)))</f>
        <v/>
      </c>
      <c r="F714" s="3"/>
      <c r="G714" s="14"/>
      <c r="H714" s="1"/>
    </row>
    <row r="715" spans="1:8">
      <c r="A715" s="2"/>
      <c r="B715" s="12"/>
      <c r="C715" s="2"/>
      <c r="D715" s="13"/>
      <c r="E715" s="8" t="str">
        <f>IF(C715="","",MAX(0,SUMIFS('CHIT REGISTER (ಮಾಸಿಕ ಚಿಟ್ ನೋಂದಣ'!$D$5:$D$502,'CHIT REGISTER (ಮಾಸಿಕ ಚಿಟ್ ನೋಂದಣ'!$F$5:$F$502,C715,'CHIT REGISTER (ಮಾಸಿಕ ಚಿಟ್ ನೋಂದಣ'!$G$5:$G$502,"UNPAID")-IF(F715="PAID",N(D715),0)))</f>
        <v/>
      </c>
      <c r="F715" s="4"/>
      <c r="G715" s="12"/>
      <c r="H715" s="2"/>
    </row>
    <row r="716" spans="1:8">
      <c r="A716" s="1"/>
      <c r="B716" s="14"/>
      <c r="C716" s="1"/>
      <c r="D716" s="15"/>
      <c r="E716" s="9" t="str">
        <f>IF(C716="","",MAX(0,SUMIFS('CHIT REGISTER (ಮಾಸಿಕ ಚಿಟ್ ನೋಂದಣ'!$D$5:$D$502,'CHIT REGISTER (ಮಾಸಿಕ ಚಿಟ್ ನೋಂದಣ'!$F$5:$F$502,C716,'CHIT REGISTER (ಮಾಸಿಕ ಚಿಟ್ ನೋಂದಣ'!$G$5:$G$502,"UNPAID")-IF(F716="PAID",N(D716),0)))</f>
        <v/>
      </c>
      <c r="F716" s="3"/>
      <c r="G716" s="14"/>
      <c r="H716" s="1"/>
    </row>
    <row r="717" spans="1:8">
      <c r="A717" s="2"/>
      <c r="B717" s="12"/>
      <c r="C717" s="2"/>
      <c r="D717" s="13"/>
      <c r="E717" s="8" t="str">
        <f>IF(C717="","",MAX(0,SUMIFS('CHIT REGISTER (ಮಾಸಿಕ ಚಿಟ್ ನೋಂದಣ'!$D$5:$D$502,'CHIT REGISTER (ಮಾಸಿಕ ಚಿಟ್ ನೋಂದಣ'!$F$5:$F$502,C717,'CHIT REGISTER (ಮಾಸಿಕ ಚಿಟ್ ನೋಂದಣ'!$G$5:$G$502,"UNPAID")-IF(F717="PAID",N(D717),0)))</f>
        <v/>
      </c>
      <c r="F717" s="4"/>
      <c r="G717" s="12"/>
      <c r="H717" s="2"/>
    </row>
    <row r="718" spans="1:8">
      <c r="A718" s="1"/>
      <c r="B718" s="14"/>
      <c r="C718" s="1"/>
      <c r="D718" s="15"/>
      <c r="E718" s="9" t="str">
        <f>IF(C718="","",MAX(0,SUMIFS('CHIT REGISTER (ಮಾಸಿಕ ಚಿಟ್ ನೋಂದಣ'!$D$5:$D$502,'CHIT REGISTER (ಮಾಸಿಕ ಚಿಟ್ ನೋಂದಣ'!$F$5:$F$502,C718,'CHIT REGISTER (ಮಾಸಿಕ ಚಿಟ್ ನೋಂದಣ'!$G$5:$G$502,"UNPAID")-IF(F718="PAID",N(D718),0)))</f>
        <v/>
      </c>
      <c r="F718" s="3"/>
      <c r="G718" s="14"/>
      <c r="H718" s="1"/>
    </row>
    <row r="719" spans="1:8">
      <c r="A719" s="2"/>
      <c r="B719" s="12"/>
      <c r="C719" s="2"/>
      <c r="D719" s="13"/>
      <c r="E719" s="8" t="str">
        <f>IF(C719="","",MAX(0,SUMIFS('CHIT REGISTER (ಮಾಸಿಕ ಚಿಟ್ ನೋಂದಣ'!$D$5:$D$502,'CHIT REGISTER (ಮಾಸಿಕ ಚಿಟ್ ನೋಂದಣ'!$F$5:$F$502,C719,'CHIT REGISTER (ಮಾಸಿಕ ಚಿಟ್ ನೋಂದಣ'!$G$5:$G$502,"UNPAID")-IF(F719="PAID",N(D719),0)))</f>
        <v/>
      </c>
      <c r="F719" s="4"/>
      <c r="G719" s="12"/>
      <c r="H719" s="2"/>
    </row>
    <row r="720" spans="1:8">
      <c r="A720" s="1"/>
      <c r="B720" s="14"/>
      <c r="C720" s="1"/>
      <c r="D720" s="15"/>
      <c r="E720" s="9" t="str">
        <f>IF(C720="","",MAX(0,SUMIFS('CHIT REGISTER (ಮಾಸಿಕ ಚಿಟ್ ನೋಂದಣ'!$D$5:$D$502,'CHIT REGISTER (ಮಾಸಿಕ ಚಿಟ್ ನೋಂದಣ'!$F$5:$F$502,C720,'CHIT REGISTER (ಮಾಸಿಕ ಚಿಟ್ ನೋಂದಣ'!$G$5:$G$502,"UNPAID")-IF(F720="PAID",N(D720),0)))</f>
        <v/>
      </c>
      <c r="F720" s="3"/>
      <c r="G720" s="14"/>
      <c r="H720" s="1"/>
    </row>
    <row r="721" spans="1:8">
      <c r="A721" s="2"/>
      <c r="B721" s="12"/>
      <c r="C721" s="2"/>
      <c r="D721" s="13"/>
      <c r="E721" s="8" t="str">
        <f>IF(C721="","",MAX(0,SUMIFS('CHIT REGISTER (ಮಾಸಿಕ ಚಿಟ್ ನೋಂದಣ'!$D$5:$D$502,'CHIT REGISTER (ಮಾಸಿಕ ಚಿಟ್ ನೋಂದಣ'!$F$5:$F$502,C721,'CHIT REGISTER (ಮಾಸಿಕ ಚಿಟ್ ನೋಂದಣ'!$G$5:$G$502,"UNPAID")-IF(F721="PAID",N(D721),0)))</f>
        <v/>
      </c>
      <c r="F721" s="4"/>
      <c r="G721" s="12"/>
      <c r="H721" s="2"/>
    </row>
    <row r="722" spans="1:8">
      <c r="A722" s="1"/>
      <c r="B722" s="14"/>
      <c r="C722" s="1"/>
      <c r="D722" s="15"/>
      <c r="E722" s="9" t="str">
        <f>IF(C722="","",MAX(0,SUMIFS('CHIT REGISTER (ಮಾಸಿಕ ಚಿಟ್ ನೋಂದಣ'!$D$5:$D$502,'CHIT REGISTER (ಮಾಸಿಕ ಚಿಟ್ ನೋಂದಣ'!$F$5:$F$502,C722,'CHIT REGISTER (ಮಾಸಿಕ ಚಿಟ್ ನೋಂದಣ'!$G$5:$G$502,"UNPAID")-IF(F722="PAID",N(D722),0)))</f>
        <v/>
      </c>
      <c r="F722" s="3"/>
      <c r="G722" s="14"/>
      <c r="H722" s="1"/>
    </row>
    <row r="723" spans="1:8">
      <c r="A723" s="2"/>
      <c r="B723" s="12"/>
      <c r="C723" s="2"/>
      <c r="D723" s="13"/>
      <c r="E723" s="8" t="str">
        <f>IF(C723="","",MAX(0,SUMIFS('CHIT REGISTER (ಮಾಸಿಕ ಚಿಟ್ ನೋಂದಣ'!$D$5:$D$502,'CHIT REGISTER (ಮಾಸಿಕ ಚಿಟ್ ನೋಂದಣ'!$F$5:$F$502,C723,'CHIT REGISTER (ಮಾಸಿಕ ಚಿಟ್ ನೋಂದಣ'!$G$5:$G$502,"UNPAID")-IF(F723="PAID",N(D723),0)))</f>
        <v/>
      </c>
      <c r="F723" s="4"/>
      <c r="G723" s="12"/>
      <c r="H723" s="2"/>
    </row>
    <row r="724" spans="1:8">
      <c r="A724" s="1"/>
      <c r="B724" s="14"/>
      <c r="C724" s="1"/>
      <c r="D724" s="15"/>
      <c r="E724" s="9" t="str">
        <f>IF(C724="","",MAX(0,SUMIFS('CHIT REGISTER (ಮಾಸಿಕ ಚಿಟ್ ನೋಂದಣ'!$D$5:$D$502,'CHIT REGISTER (ಮಾಸಿಕ ಚಿಟ್ ನೋಂದಣ'!$F$5:$F$502,C724,'CHIT REGISTER (ಮಾಸಿಕ ಚಿಟ್ ನೋಂದಣ'!$G$5:$G$502,"UNPAID")-IF(F724="PAID",N(D724),0)))</f>
        <v/>
      </c>
      <c r="F724" s="3"/>
      <c r="G724" s="14"/>
      <c r="H724" s="1"/>
    </row>
    <row r="725" spans="1:8">
      <c r="A725" s="2"/>
      <c r="B725" s="12"/>
      <c r="C725" s="2"/>
      <c r="D725" s="13"/>
      <c r="E725" s="8" t="str">
        <f>IF(C725="","",MAX(0,SUMIFS('CHIT REGISTER (ಮಾಸಿಕ ಚಿಟ್ ನೋಂದಣ'!$D$5:$D$502,'CHIT REGISTER (ಮಾಸಿಕ ಚಿಟ್ ನೋಂದಣ'!$F$5:$F$502,C725,'CHIT REGISTER (ಮಾಸಿಕ ಚಿಟ್ ನೋಂದಣ'!$G$5:$G$502,"UNPAID")-IF(F725="PAID",N(D725),0)))</f>
        <v/>
      </c>
      <c r="F725" s="4"/>
      <c r="G725" s="12"/>
      <c r="H725" s="2"/>
    </row>
    <row r="726" spans="1:8">
      <c r="A726" s="1"/>
      <c r="B726" s="14"/>
      <c r="C726" s="1"/>
      <c r="D726" s="15"/>
      <c r="E726" s="9" t="str">
        <f>IF(C726="","",MAX(0,SUMIFS('CHIT REGISTER (ಮಾಸಿಕ ಚಿಟ್ ನೋಂದಣ'!$D$5:$D$502,'CHIT REGISTER (ಮಾಸಿಕ ಚಿಟ್ ನೋಂದಣ'!$F$5:$F$502,C726,'CHIT REGISTER (ಮಾಸಿಕ ಚಿಟ್ ನೋಂದಣ'!$G$5:$G$502,"UNPAID")-IF(F726="PAID",N(D726),0)))</f>
        <v/>
      </c>
      <c r="F726" s="3"/>
      <c r="G726" s="14"/>
      <c r="H726" s="1"/>
    </row>
    <row r="727" spans="1:8">
      <c r="A727" s="2"/>
      <c r="B727" s="12"/>
      <c r="C727" s="2"/>
      <c r="D727" s="13"/>
      <c r="E727" s="8" t="str">
        <f>IF(C727="","",MAX(0,SUMIFS('CHIT REGISTER (ಮಾಸಿಕ ಚಿಟ್ ನೋಂದಣ'!$D$5:$D$502,'CHIT REGISTER (ಮಾಸಿಕ ಚಿಟ್ ನೋಂದಣ'!$F$5:$F$502,C727,'CHIT REGISTER (ಮಾಸಿಕ ಚಿಟ್ ನೋಂದಣ'!$G$5:$G$502,"UNPAID")-IF(F727="PAID",N(D727),0)))</f>
        <v/>
      </c>
      <c r="F727" s="4"/>
      <c r="G727" s="12"/>
      <c r="H727" s="2"/>
    </row>
    <row r="728" spans="1:8">
      <c r="A728" s="1"/>
      <c r="B728" s="14"/>
      <c r="C728" s="1"/>
      <c r="D728" s="15"/>
      <c r="E728" s="9" t="str">
        <f>IF(C728="","",MAX(0,SUMIFS('CHIT REGISTER (ಮಾಸಿಕ ಚಿಟ್ ನೋಂದಣ'!$D$5:$D$502,'CHIT REGISTER (ಮಾಸಿಕ ಚಿಟ್ ನೋಂದಣ'!$F$5:$F$502,C728,'CHIT REGISTER (ಮಾಸಿಕ ಚಿಟ್ ನೋಂದಣ'!$G$5:$G$502,"UNPAID")-IF(F728="PAID",N(D728),0)))</f>
        <v/>
      </c>
      <c r="F728" s="3"/>
      <c r="G728" s="14"/>
      <c r="H728" s="1"/>
    </row>
    <row r="729" spans="1:8">
      <c r="A729" s="2"/>
      <c r="B729" s="12"/>
      <c r="C729" s="2"/>
      <c r="D729" s="13"/>
      <c r="E729" s="8" t="str">
        <f>IF(C729="","",MAX(0,SUMIFS('CHIT REGISTER (ಮಾಸಿಕ ಚಿಟ್ ನೋಂದಣ'!$D$5:$D$502,'CHIT REGISTER (ಮಾಸಿಕ ಚಿಟ್ ನೋಂದಣ'!$F$5:$F$502,C729,'CHIT REGISTER (ಮಾಸಿಕ ಚಿಟ್ ನೋಂದಣ'!$G$5:$G$502,"UNPAID")-IF(F729="PAID",N(D729),0)))</f>
        <v/>
      </c>
      <c r="F729" s="4"/>
      <c r="G729" s="12"/>
      <c r="H729" s="2"/>
    </row>
    <row r="730" spans="1:8">
      <c r="A730" s="1"/>
      <c r="B730" s="14"/>
      <c r="C730" s="1"/>
      <c r="D730" s="15"/>
      <c r="E730" s="9" t="str">
        <f>IF(C730="","",MAX(0,SUMIFS('CHIT REGISTER (ಮಾಸಿಕ ಚಿಟ್ ನೋಂದಣ'!$D$5:$D$502,'CHIT REGISTER (ಮಾಸಿಕ ಚಿಟ್ ನೋಂದಣ'!$F$5:$F$502,C730,'CHIT REGISTER (ಮಾಸಿಕ ಚಿಟ್ ನೋಂದಣ'!$G$5:$G$502,"UNPAID")-IF(F730="PAID",N(D730),0)))</f>
        <v/>
      </c>
      <c r="F730" s="3"/>
      <c r="G730" s="14"/>
      <c r="H730" s="1"/>
    </row>
    <row r="731" spans="1:8">
      <c r="A731" s="2"/>
      <c r="B731" s="12"/>
      <c r="C731" s="2"/>
      <c r="D731" s="13"/>
      <c r="E731" s="8" t="str">
        <f>IF(C731="","",MAX(0,SUMIFS('CHIT REGISTER (ಮಾಸಿಕ ಚಿಟ್ ನೋಂದಣ'!$D$5:$D$502,'CHIT REGISTER (ಮಾಸಿಕ ಚಿಟ್ ನೋಂದಣ'!$F$5:$F$502,C731,'CHIT REGISTER (ಮಾಸಿಕ ಚಿಟ್ ನೋಂದಣ'!$G$5:$G$502,"UNPAID")-IF(F731="PAID",N(D731),0)))</f>
        <v/>
      </c>
      <c r="F731" s="4"/>
      <c r="G731" s="12"/>
      <c r="H731" s="2"/>
    </row>
    <row r="732" spans="1:8">
      <c r="A732" s="1"/>
      <c r="B732" s="14"/>
      <c r="C732" s="1"/>
      <c r="D732" s="15"/>
      <c r="E732" s="9" t="str">
        <f>IF(C732="","",MAX(0,SUMIFS('CHIT REGISTER (ಮಾಸಿಕ ಚಿಟ್ ನೋಂದಣ'!$D$5:$D$502,'CHIT REGISTER (ಮಾಸಿಕ ಚಿಟ್ ನೋಂದಣ'!$F$5:$F$502,C732,'CHIT REGISTER (ಮಾಸಿಕ ಚಿಟ್ ನೋಂದಣ'!$G$5:$G$502,"UNPAID")-IF(F732="PAID",N(D732),0)))</f>
        <v/>
      </c>
      <c r="F732" s="3"/>
      <c r="G732" s="14"/>
      <c r="H732" s="1"/>
    </row>
    <row r="733" spans="1:8">
      <c r="A733" s="2"/>
      <c r="B733" s="12"/>
      <c r="C733" s="2"/>
      <c r="D733" s="13"/>
      <c r="E733" s="8" t="str">
        <f>IF(C733="","",MAX(0,SUMIFS('CHIT REGISTER (ಮಾಸಿಕ ಚಿಟ್ ನೋಂದಣ'!$D$5:$D$502,'CHIT REGISTER (ಮಾಸಿಕ ಚಿಟ್ ನೋಂದಣ'!$F$5:$F$502,C733,'CHIT REGISTER (ಮಾಸಿಕ ಚಿಟ್ ನೋಂದಣ'!$G$5:$G$502,"UNPAID")-IF(F733="PAID",N(D733),0)))</f>
        <v/>
      </c>
      <c r="F733" s="4"/>
      <c r="G733" s="12"/>
      <c r="H733" s="2"/>
    </row>
    <row r="734" spans="1:8">
      <c r="A734" s="1"/>
      <c r="B734" s="14"/>
      <c r="C734" s="1"/>
      <c r="D734" s="15"/>
      <c r="E734" s="9" t="str">
        <f>IF(C734="","",MAX(0,SUMIFS('CHIT REGISTER (ಮಾಸಿಕ ಚಿಟ್ ನೋಂದಣ'!$D$5:$D$502,'CHIT REGISTER (ಮಾಸಿಕ ಚಿಟ್ ನೋಂದಣ'!$F$5:$F$502,C734,'CHIT REGISTER (ಮಾಸಿಕ ಚಿಟ್ ನೋಂದಣ'!$G$5:$G$502,"UNPAID")-IF(F734="PAID",N(D734),0)))</f>
        <v/>
      </c>
      <c r="F734" s="3"/>
      <c r="G734" s="14"/>
      <c r="H734" s="1"/>
    </row>
    <row r="735" spans="1:8">
      <c r="A735" s="2"/>
      <c r="B735" s="12"/>
      <c r="C735" s="2"/>
      <c r="D735" s="13"/>
      <c r="E735" s="8" t="str">
        <f>IF(C735="","",MAX(0,SUMIFS('CHIT REGISTER (ಮಾಸಿಕ ಚಿಟ್ ನೋಂದಣ'!$D$5:$D$502,'CHIT REGISTER (ಮಾಸಿಕ ಚಿಟ್ ನೋಂದಣ'!$F$5:$F$502,C735,'CHIT REGISTER (ಮಾಸಿಕ ಚಿಟ್ ನೋಂದಣ'!$G$5:$G$502,"UNPAID")-IF(F735="PAID",N(D735),0)))</f>
        <v/>
      </c>
      <c r="F735" s="4"/>
      <c r="G735" s="12"/>
      <c r="H735" s="2"/>
    </row>
    <row r="736" spans="1:8">
      <c r="A736" s="1"/>
      <c r="B736" s="14"/>
      <c r="C736" s="1"/>
      <c r="D736" s="15"/>
      <c r="E736" s="9" t="str">
        <f>IF(C736="","",MAX(0,SUMIFS('CHIT REGISTER (ಮಾಸಿಕ ಚಿಟ್ ನೋಂದಣ'!$D$5:$D$502,'CHIT REGISTER (ಮಾಸಿಕ ಚಿಟ್ ನೋಂದಣ'!$F$5:$F$502,C736,'CHIT REGISTER (ಮಾಸಿಕ ಚಿಟ್ ನೋಂದಣ'!$G$5:$G$502,"UNPAID")-IF(F736="PAID",N(D736),0)))</f>
        <v/>
      </c>
      <c r="F736" s="3"/>
      <c r="G736" s="14"/>
      <c r="H736" s="1"/>
    </row>
    <row r="737" spans="1:8">
      <c r="A737" s="2"/>
      <c r="B737" s="12"/>
      <c r="C737" s="2"/>
      <c r="D737" s="13"/>
      <c r="E737" s="8" t="str">
        <f>IF(C737="","",MAX(0,SUMIFS('CHIT REGISTER (ಮಾಸಿಕ ಚಿಟ್ ನೋಂದಣ'!$D$5:$D$502,'CHIT REGISTER (ಮಾಸಿಕ ಚಿಟ್ ನೋಂದಣ'!$F$5:$F$502,C737,'CHIT REGISTER (ಮಾಸಿಕ ಚಿಟ್ ನೋಂದಣ'!$G$5:$G$502,"UNPAID")-IF(F737="PAID",N(D737),0)))</f>
        <v/>
      </c>
      <c r="F737" s="4"/>
      <c r="G737" s="12"/>
      <c r="H737" s="2"/>
    </row>
    <row r="738" spans="1:8">
      <c r="A738" s="1"/>
      <c r="B738" s="14"/>
      <c r="C738" s="1"/>
      <c r="D738" s="15"/>
      <c r="E738" s="9" t="str">
        <f>IF(C738="","",MAX(0,SUMIFS('CHIT REGISTER (ಮಾಸಿಕ ಚಿಟ್ ನೋಂದಣ'!$D$5:$D$502,'CHIT REGISTER (ಮಾಸಿಕ ಚಿಟ್ ನೋಂದಣ'!$F$5:$F$502,C738,'CHIT REGISTER (ಮಾಸಿಕ ಚಿಟ್ ನೋಂದಣ'!$G$5:$G$502,"UNPAID")-IF(F738="PAID",N(D738),0)))</f>
        <v/>
      </c>
      <c r="F738" s="3"/>
      <c r="G738" s="14"/>
      <c r="H738" s="1"/>
    </row>
    <row r="739" spans="1:8">
      <c r="A739" s="2"/>
      <c r="B739" s="12"/>
      <c r="C739" s="2"/>
      <c r="D739" s="13"/>
      <c r="E739" s="8" t="str">
        <f>IF(C739="","",MAX(0,SUMIFS('CHIT REGISTER (ಮಾಸಿಕ ಚಿಟ್ ನೋಂದಣ'!$D$5:$D$502,'CHIT REGISTER (ಮಾಸಿಕ ಚಿಟ್ ನೋಂದಣ'!$F$5:$F$502,C739,'CHIT REGISTER (ಮಾಸಿಕ ಚಿಟ್ ನೋಂದಣ'!$G$5:$G$502,"UNPAID")-IF(F739="PAID",N(D739),0)))</f>
        <v/>
      </c>
      <c r="F739" s="4"/>
      <c r="G739" s="12"/>
      <c r="H739" s="2"/>
    </row>
    <row r="740" spans="1:8">
      <c r="A740" s="1"/>
      <c r="B740" s="14"/>
      <c r="C740" s="1"/>
      <c r="D740" s="15"/>
      <c r="E740" s="9" t="str">
        <f>IF(C740="","",MAX(0,SUMIFS('CHIT REGISTER (ಮಾಸಿಕ ಚಿಟ್ ನೋಂದಣ'!$D$5:$D$502,'CHIT REGISTER (ಮಾಸಿಕ ಚಿಟ್ ನೋಂದಣ'!$F$5:$F$502,C740,'CHIT REGISTER (ಮಾಸಿಕ ಚಿಟ್ ನೋಂದಣ'!$G$5:$G$502,"UNPAID")-IF(F740="PAID",N(D740),0)))</f>
        <v/>
      </c>
      <c r="F740" s="3"/>
      <c r="G740" s="14"/>
      <c r="H740" s="1"/>
    </row>
    <row r="741" spans="1:8">
      <c r="A741" s="2"/>
      <c r="B741" s="12"/>
      <c r="C741" s="2"/>
      <c r="D741" s="13"/>
      <c r="E741" s="8" t="str">
        <f>IF(C741="","",MAX(0,SUMIFS('CHIT REGISTER (ಮಾಸಿಕ ಚಿಟ್ ನೋಂದಣ'!$D$5:$D$502,'CHIT REGISTER (ಮಾಸಿಕ ಚಿಟ್ ನೋಂದಣ'!$F$5:$F$502,C741,'CHIT REGISTER (ಮಾಸಿಕ ಚಿಟ್ ನೋಂದಣ'!$G$5:$G$502,"UNPAID")-IF(F741="PAID",N(D741),0)))</f>
        <v/>
      </c>
      <c r="F741" s="4"/>
      <c r="G741" s="12"/>
      <c r="H741" s="2"/>
    </row>
    <row r="742" spans="1:8">
      <c r="A742" s="1"/>
      <c r="B742" s="14"/>
      <c r="C742" s="1"/>
      <c r="D742" s="15"/>
      <c r="E742" s="9" t="str">
        <f>IF(C742="","",MAX(0,SUMIFS('CHIT REGISTER (ಮಾಸಿಕ ಚಿಟ್ ನೋಂದಣ'!$D$5:$D$502,'CHIT REGISTER (ಮಾಸಿಕ ಚಿಟ್ ನೋಂದಣ'!$F$5:$F$502,C742,'CHIT REGISTER (ಮಾಸಿಕ ಚಿಟ್ ನೋಂದಣ'!$G$5:$G$502,"UNPAID")-IF(F742="PAID",N(D742),0)))</f>
        <v/>
      </c>
      <c r="F742" s="3"/>
      <c r="G742" s="14"/>
      <c r="H742" s="1"/>
    </row>
    <row r="743" spans="1:8">
      <c r="A743" s="2"/>
      <c r="B743" s="12"/>
      <c r="C743" s="2"/>
      <c r="D743" s="13"/>
      <c r="E743" s="8" t="str">
        <f>IF(C743="","",MAX(0,SUMIFS('CHIT REGISTER (ಮಾಸಿಕ ಚಿಟ್ ನೋಂದಣ'!$D$5:$D$502,'CHIT REGISTER (ಮಾಸಿಕ ಚಿಟ್ ನೋಂದಣ'!$F$5:$F$502,C743,'CHIT REGISTER (ಮಾಸಿಕ ಚಿಟ್ ನೋಂದಣ'!$G$5:$G$502,"UNPAID")-IF(F743="PAID",N(D743),0)))</f>
        <v/>
      </c>
      <c r="F743" s="4"/>
      <c r="G743" s="12"/>
      <c r="H743" s="2"/>
    </row>
    <row r="744" spans="1:8">
      <c r="A744" s="1"/>
      <c r="B744" s="14"/>
      <c r="C744" s="1"/>
      <c r="D744" s="15"/>
      <c r="E744" s="9" t="str">
        <f>IF(C744="","",MAX(0,SUMIFS('CHIT REGISTER (ಮಾಸಿಕ ಚಿಟ್ ನೋಂದಣ'!$D$5:$D$502,'CHIT REGISTER (ಮಾಸಿಕ ಚಿಟ್ ನೋಂದಣ'!$F$5:$F$502,C744,'CHIT REGISTER (ಮಾಸಿಕ ಚಿಟ್ ನೋಂದಣ'!$G$5:$G$502,"UNPAID")-IF(F744="PAID",N(D744),0)))</f>
        <v/>
      </c>
      <c r="F744" s="3"/>
      <c r="G744" s="14"/>
      <c r="H744" s="1"/>
    </row>
    <row r="745" spans="1:8">
      <c r="A745" s="2"/>
      <c r="B745" s="12"/>
      <c r="C745" s="2"/>
      <c r="D745" s="13"/>
      <c r="E745" s="8" t="str">
        <f>IF(C745="","",MAX(0,SUMIFS('CHIT REGISTER (ಮಾಸಿಕ ಚಿಟ್ ನೋಂದಣ'!$D$5:$D$502,'CHIT REGISTER (ಮಾಸಿಕ ಚಿಟ್ ನೋಂದಣ'!$F$5:$F$502,C745,'CHIT REGISTER (ಮಾಸಿಕ ಚಿಟ್ ನೋಂದಣ'!$G$5:$G$502,"UNPAID")-IF(F745="PAID",N(D745),0)))</f>
        <v/>
      </c>
      <c r="F745" s="4"/>
      <c r="G745" s="12"/>
      <c r="H745" s="2"/>
    </row>
    <row r="746" spans="1:8">
      <c r="A746" s="1"/>
      <c r="B746" s="14"/>
      <c r="C746" s="1"/>
      <c r="D746" s="15"/>
      <c r="E746" s="9" t="str">
        <f>IF(C746="","",MAX(0,SUMIFS('CHIT REGISTER (ಮಾಸಿಕ ಚಿಟ್ ನೋಂದಣ'!$D$5:$D$502,'CHIT REGISTER (ಮಾಸಿಕ ಚಿಟ್ ನೋಂದಣ'!$F$5:$F$502,C746,'CHIT REGISTER (ಮಾಸಿಕ ಚಿಟ್ ನೋಂದಣ'!$G$5:$G$502,"UNPAID")-IF(F746="PAID",N(D746),0)))</f>
        <v/>
      </c>
      <c r="F746" s="3"/>
      <c r="G746" s="14"/>
      <c r="H746" s="1"/>
    </row>
    <row r="747" spans="1:8">
      <c r="A747" s="2"/>
      <c r="B747" s="12"/>
      <c r="C747" s="2"/>
      <c r="D747" s="13"/>
      <c r="E747" s="8" t="str">
        <f>IF(C747="","",MAX(0,SUMIFS('CHIT REGISTER (ಮಾಸಿಕ ಚಿಟ್ ನೋಂದಣ'!$D$5:$D$502,'CHIT REGISTER (ಮಾಸಿಕ ಚಿಟ್ ನೋಂದಣ'!$F$5:$F$502,C747,'CHIT REGISTER (ಮಾಸಿಕ ಚಿಟ್ ನೋಂದಣ'!$G$5:$G$502,"UNPAID")-IF(F747="PAID",N(D747),0)))</f>
        <v/>
      </c>
      <c r="F747" s="4"/>
      <c r="G747" s="12"/>
      <c r="H747" s="2"/>
    </row>
    <row r="748" spans="1:8">
      <c r="A748" s="1"/>
      <c r="B748" s="14"/>
      <c r="C748" s="1"/>
      <c r="D748" s="15"/>
      <c r="E748" s="9" t="str">
        <f>IF(C748="","",MAX(0,SUMIFS('CHIT REGISTER (ಮಾಸಿಕ ಚಿಟ್ ನೋಂದಣ'!$D$5:$D$502,'CHIT REGISTER (ಮಾಸಿಕ ಚಿಟ್ ನೋಂದಣ'!$F$5:$F$502,C748,'CHIT REGISTER (ಮಾಸಿಕ ಚಿಟ್ ನೋಂದಣ'!$G$5:$G$502,"UNPAID")-IF(F748="PAID",N(D748),0)))</f>
        <v/>
      </c>
      <c r="F748" s="3"/>
      <c r="G748" s="14"/>
      <c r="H748" s="1"/>
    </row>
    <row r="749" spans="1:8">
      <c r="A749" s="2"/>
      <c r="B749" s="12"/>
      <c r="C749" s="2"/>
      <c r="D749" s="13"/>
      <c r="E749" s="8" t="str">
        <f>IF(C749="","",MAX(0,SUMIFS('CHIT REGISTER (ಮಾಸಿಕ ಚಿಟ್ ನೋಂದಣ'!$D$5:$D$502,'CHIT REGISTER (ಮಾಸಿಕ ಚಿಟ್ ನೋಂದಣ'!$F$5:$F$502,C749,'CHIT REGISTER (ಮಾಸಿಕ ಚಿಟ್ ನೋಂದಣ'!$G$5:$G$502,"UNPAID")-IF(F749="PAID",N(D749),0)))</f>
        <v/>
      </c>
      <c r="F749" s="4"/>
      <c r="G749" s="12"/>
      <c r="H749" s="2"/>
    </row>
    <row r="750" spans="1:8">
      <c r="A750" s="1"/>
      <c r="B750" s="14"/>
      <c r="C750" s="1"/>
      <c r="D750" s="15"/>
      <c r="E750" s="9" t="str">
        <f>IF(C750="","",MAX(0,SUMIFS('CHIT REGISTER (ಮಾಸಿಕ ಚಿಟ್ ನೋಂದಣ'!$D$5:$D$502,'CHIT REGISTER (ಮಾಸಿಕ ಚಿಟ್ ನೋಂದಣ'!$F$5:$F$502,C750,'CHIT REGISTER (ಮಾಸಿಕ ಚಿಟ್ ನೋಂದಣ'!$G$5:$G$502,"UNPAID")-IF(F750="PAID",N(D750),0)))</f>
        <v/>
      </c>
      <c r="F750" s="3"/>
      <c r="G750" s="14"/>
      <c r="H750" s="1"/>
    </row>
    <row r="751" spans="1:8">
      <c r="A751" s="2"/>
      <c r="B751" s="12"/>
      <c r="C751" s="2"/>
      <c r="D751" s="13"/>
      <c r="E751" s="8" t="str">
        <f>IF(C751="","",MAX(0,SUMIFS('CHIT REGISTER (ಮಾಸಿಕ ಚಿಟ್ ನೋಂದಣ'!$D$5:$D$502,'CHIT REGISTER (ಮಾಸಿಕ ಚಿಟ್ ನೋಂದಣ'!$F$5:$F$502,C751,'CHIT REGISTER (ಮಾಸಿಕ ಚಿಟ್ ನೋಂದಣ'!$G$5:$G$502,"UNPAID")-IF(F751="PAID",N(D751),0)))</f>
        <v/>
      </c>
      <c r="F751" s="4"/>
      <c r="G751" s="12"/>
      <c r="H751" s="2"/>
    </row>
    <row r="752" spans="1:8">
      <c r="A752" s="1"/>
      <c r="B752" s="14"/>
      <c r="C752" s="1"/>
      <c r="D752" s="15"/>
      <c r="E752" s="9" t="str">
        <f>IF(C752="","",MAX(0,SUMIFS('CHIT REGISTER (ಮಾಸಿಕ ಚಿಟ್ ನೋಂದಣ'!$D$5:$D$502,'CHIT REGISTER (ಮಾಸಿಕ ಚಿಟ್ ನೋಂದಣ'!$F$5:$F$502,C752,'CHIT REGISTER (ಮಾಸಿಕ ಚಿಟ್ ನೋಂದಣ'!$G$5:$G$502,"UNPAID")-IF(F752="PAID",N(D752),0)))</f>
        <v/>
      </c>
      <c r="F752" s="3"/>
      <c r="G752" s="14"/>
      <c r="H752" s="1"/>
    </row>
    <row r="753" spans="1:8">
      <c r="A753" s="2"/>
      <c r="B753" s="12"/>
      <c r="C753" s="2"/>
      <c r="D753" s="13"/>
      <c r="E753" s="8" t="str">
        <f>IF(C753="","",MAX(0,SUMIFS('CHIT REGISTER (ಮಾಸಿಕ ಚಿಟ್ ನೋಂದಣ'!$D$5:$D$502,'CHIT REGISTER (ಮಾಸಿಕ ಚಿಟ್ ನೋಂದಣ'!$F$5:$F$502,C753,'CHIT REGISTER (ಮಾಸಿಕ ಚಿಟ್ ನೋಂದಣ'!$G$5:$G$502,"UNPAID")-IF(F753="PAID",N(D753),0)))</f>
        <v/>
      </c>
      <c r="F753" s="4"/>
      <c r="G753" s="12"/>
      <c r="H753" s="2"/>
    </row>
    <row r="754" spans="1:8">
      <c r="A754" s="1"/>
      <c r="B754" s="14"/>
      <c r="C754" s="1"/>
      <c r="D754" s="15"/>
      <c r="E754" s="9" t="str">
        <f>IF(C754="","",MAX(0,SUMIFS('CHIT REGISTER (ಮಾಸಿಕ ಚಿಟ್ ನೋಂದಣ'!$D$5:$D$502,'CHIT REGISTER (ಮಾಸಿಕ ಚಿಟ್ ನೋಂದಣ'!$F$5:$F$502,C754,'CHIT REGISTER (ಮಾಸಿಕ ಚಿಟ್ ನೋಂದಣ'!$G$5:$G$502,"UNPAID")-IF(F754="PAID",N(D754),0)))</f>
        <v/>
      </c>
      <c r="F754" s="3"/>
      <c r="G754" s="14"/>
      <c r="H754" s="1"/>
    </row>
    <row r="755" spans="1:8">
      <c r="A755" s="2"/>
      <c r="B755" s="12"/>
      <c r="C755" s="2"/>
      <c r="D755" s="13"/>
      <c r="E755" s="8" t="str">
        <f>IF(C755="","",MAX(0,SUMIFS('CHIT REGISTER (ಮಾಸಿಕ ಚಿಟ್ ನೋಂದಣ'!$D$5:$D$502,'CHIT REGISTER (ಮಾಸಿಕ ಚಿಟ್ ನೋಂದಣ'!$F$5:$F$502,C755,'CHIT REGISTER (ಮಾಸಿಕ ಚಿಟ್ ನೋಂದಣ'!$G$5:$G$502,"UNPAID")-IF(F755="PAID",N(D755),0)))</f>
        <v/>
      </c>
      <c r="F755" s="4"/>
      <c r="G755" s="12"/>
      <c r="H755" s="2"/>
    </row>
    <row r="756" spans="1:8">
      <c r="A756" s="1"/>
      <c r="B756" s="14"/>
      <c r="C756" s="1"/>
      <c r="D756" s="15"/>
      <c r="E756" s="9" t="str">
        <f>IF(C756="","",MAX(0,SUMIFS('CHIT REGISTER (ಮಾಸಿಕ ಚಿಟ್ ನೋಂದಣ'!$D$5:$D$502,'CHIT REGISTER (ಮಾಸಿಕ ಚಿಟ್ ನೋಂದಣ'!$F$5:$F$502,C756,'CHIT REGISTER (ಮಾಸಿಕ ಚಿಟ್ ನೋಂದಣ'!$G$5:$G$502,"UNPAID")-IF(F756="PAID",N(D756),0)))</f>
        <v/>
      </c>
      <c r="F756" s="3"/>
      <c r="G756" s="14"/>
      <c r="H756" s="1"/>
    </row>
    <row r="757" spans="1:8">
      <c r="A757" s="2"/>
      <c r="B757" s="12"/>
      <c r="C757" s="2"/>
      <c r="D757" s="13"/>
      <c r="E757" s="8" t="str">
        <f>IF(C757="","",MAX(0,SUMIFS('CHIT REGISTER (ಮಾಸಿಕ ಚಿಟ್ ನೋಂದಣ'!$D$5:$D$502,'CHIT REGISTER (ಮಾಸಿಕ ಚಿಟ್ ನೋಂದಣ'!$F$5:$F$502,C757,'CHIT REGISTER (ಮಾಸಿಕ ಚಿಟ್ ನೋಂದಣ'!$G$5:$G$502,"UNPAID")-IF(F757="PAID",N(D757),0)))</f>
        <v/>
      </c>
      <c r="F757" s="4"/>
      <c r="G757" s="12"/>
      <c r="H757" s="2"/>
    </row>
    <row r="758" spans="1:8">
      <c r="A758" s="1"/>
      <c r="B758" s="14"/>
      <c r="C758" s="1"/>
      <c r="D758" s="15"/>
      <c r="E758" s="9" t="str">
        <f>IF(C758="","",MAX(0,SUMIFS('CHIT REGISTER (ಮಾಸಿಕ ಚಿಟ್ ನೋಂದಣ'!$D$5:$D$502,'CHIT REGISTER (ಮಾಸಿಕ ಚಿಟ್ ನೋಂದಣ'!$F$5:$F$502,C758,'CHIT REGISTER (ಮಾಸಿಕ ಚಿಟ್ ನೋಂದಣ'!$G$5:$G$502,"UNPAID")-IF(F758="PAID",N(D758),0)))</f>
        <v/>
      </c>
      <c r="F758" s="3"/>
      <c r="G758" s="14"/>
      <c r="H758" s="1"/>
    </row>
    <row r="759" spans="1:8">
      <c r="A759" s="2"/>
      <c r="B759" s="12"/>
      <c r="C759" s="2"/>
      <c r="D759" s="13"/>
      <c r="E759" s="8" t="str">
        <f>IF(C759="","",MAX(0,SUMIFS('CHIT REGISTER (ಮಾಸಿಕ ಚಿಟ್ ನೋಂದಣ'!$D$5:$D$502,'CHIT REGISTER (ಮಾಸಿಕ ಚಿಟ್ ನೋಂದಣ'!$F$5:$F$502,C759,'CHIT REGISTER (ಮಾಸಿಕ ಚಿಟ್ ನೋಂದಣ'!$G$5:$G$502,"UNPAID")-IF(F759="PAID",N(D759),0)))</f>
        <v/>
      </c>
      <c r="F759" s="4"/>
      <c r="G759" s="12"/>
      <c r="H759" s="2"/>
    </row>
    <row r="760" spans="1:8">
      <c r="A760" s="1"/>
      <c r="B760" s="14"/>
      <c r="C760" s="1"/>
      <c r="D760" s="15"/>
      <c r="E760" s="9" t="str">
        <f>IF(C760="","",MAX(0,SUMIFS('CHIT REGISTER (ಮಾಸಿಕ ಚಿಟ್ ನೋಂದಣ'!$D$5:$D$502,'CHIT REGISTER (ಮಾಸಿಕ ಚಿಟ್ ನೋಂದಣ'!$F$5:$F$502,C760,'CHIT REGISTER (ಮಾಸಿಕ ಚಿಟ್ ನೋಂದಣ'!$G$5:$G$502,"UNPAID")-IF(F760="PAID",N(D760),0)))</f>
        <v/>
      </c>
      <c r="F760" s="3"/>
      <c r="G760" s="14"/>
      <c r="H760" s="1"/>
    </row>
    <row r="761" spans="1:8">
      <c r="A761" s="2"/>
      <c r="B761" s="12"/>
      <c r="C761" s="2"/>
      <c r="D761" s="13"/>
      <c r="E761" s="8" t="str">
        <f>IF(C761="","",MAX(0,SUMIFS('CHIT REGISTER (ಮಾಸಿಕ ಚಿಟ್ ನೋಂದಣ'!$D$5:$D$502,'CHIT REGISTER (ಮಾಸಿಕ ಚಿಟ್ ನೋಂದಣ'!$F$5:$F$502,C761,'CHIT REGISTER (ಮಾಸಿಕ ಚಿಟ್ ನೋಂದಣ'!$G$5:$G$502,"UNPAID")-IF(F761="PAID",N(D761),0)))</f>
        <v/>
      </c>
      <c r="F761" s="4"/>
      <c r="G761" s="12"/>
      <c r="H761" s="2"/>
    </row>
    <row r="762" spans="1:8">
      <c r="A762" s="1"/>
      <c r="B762" s="14"/>
      <c r="C762" s="1"/>
      <c r="D762" s="15"/>
      <c r="E762" s="9" t="str">
        <f>IF(C762="","",MAX(0,SUMIFS('CHIT REGISTER (ಮಾಸಿಕ ಚಿಟ್ ನೋಂದಣ'!$D$5:$D$502,'CHIT REGISTER (ಮಾಸಿಕ ಚಿಟ್ ನೋಂದಣ'!$F$5:$F$502,C762,'CHIT REGISTER (ಮಾಸಿಕ ಚಿಟ್ ನೋಂದಣ'!$G$5:$G$502,"UNPAID")-IF(F762="PAID",N(D762),0)))</f>
        <v/>
      </c>
      <c r="F762" s="3"/>
      <c r="G762" s="14"/>
      <c r="H762" s="1"/>
    </row>
    <row r="763" spans="1:8">
      <c r="A763" s="2"/>
      <c r="B763" s="12"/>
      <c r="C763" s="2"/>
      <c r="D763" s="13"/>
      <c r="E763" s="8" t="str">
        <f>IF(C763="","",MAX(0,SUMIFS('CHIT REGISTER (ಮಾಸಿಕ ಚಿಟ್ ನೋಂದಣ'!$D$5:$D$502,'CHIT REGISTER (ಮಾಸಿಕ ಚಿಟ್ ನೋಂದಣ'!$F$5:$F$502,C763,'CHIT REGISTER (ಮಾಸಿಕ ಚಿಟ್ ನೋಂದಣ'!$G$5:$G$502,"UNPAID")-IF(F763="PAID",N(D763),0)))</f>
        <v/>
      </c>
      <c r="F763" s="4"/>
      <c r="G763" s="12"/>
      <c r="H763" s="2"/>
    </row>
    <row r="764" spans="1:8">
      <c r="A764" s="1"/>
      <c r="B764" s="14"/>
      <c r="C764" s="1"/>
      <c r="D764" s="15"/>
      <c r="E764" s="9" t="str">
        <f>IF(C764="","",MAX(0,SUMIFS('CHIT REGISTER (ಮಾಸಿಕ ಚಿಟ್ ನೋಂದಣ'!$D$5:$D$502,'CHIT REGISTER (ಮಾಸಿಕ ಚಿಟ್ ನೋಂದಣ'!$F$5:$F$502,C764,'CHIT REGISTER (ಮಾಸಿಕ ಚಿಟ್ ನೋಂದಣ'!$G$5:$G$502,"UNPAID")-IF(F764="PAID",N(D764),0)))</f>
        <v/>
      </c>
      <c r="F764" s="3"/>
      <c r="G764" s="14"/>
      <c r="H764" s="1"/>
    </row>
    <row r="765" spans="1:8">
      <c r="A765" s="2"/>
      <c r="B765" s="12"/>
      <c r="C765" s="2"/>
      <c r="D765" s="13"/>
      <c r="E765" s="8" t="str">
        <f>IF(C765="","",MAX(0,SUMIFS('CHIT REGISTER (ಮಾಸಿಕ ಚಿಟ್ ನೋಂದಣ'!$D$5:$D$502,'CHIT REGISTER (ಮಾಸಿಕ ಚಿಟ್ ನೋಂದಣ'!$F$5:$F$502,C765,'CHIT REGISTER (ಮಾಸಿಕ ಚಿಟ್ ನೋಂದಣ'!$G$5:$G$502,"UNPAID")-IF(F765="PAID",N(D765),0)))</f>
        <v/>
      </c>
      <c r="F765" s="4"/>
      <c r="G765" s="12"/>
      <c r="H765" s="2"/>
    </row>
    <row r="766" spans="1:8">
      <c r="A766" s="1"/>
      <c r="B766" s="14"/>
      <c r="C766" s="1"/>
      <c r="D766" s="15"/>
      <c r="E766" s="9" t="str">
        <f>IF(C766="","",MAX(0,SUMIFS('CHIT REGISTER (ಮಾಸಿಕ ಚಿಟ್ ನೋಂದಣ'!$D$5:$D$502,'CHIT REGISTER (ಮಾಸಿಕ ಚಿಟ್ ನೋಂದಣ'!$F$5:$F$502,C766,'CHIT REGISTER (ಮಾಸಿಕ ಚಿಟ್ ನೋಂದಣ'!$G$5:$G$502,"UNPAID")-IF(F766="PAID",N(D766),0)))</f>
        <v/>
      </c>
      <c r="F766" s="3"/>
      <c r="G766" s="14"/>
      <c r="H766" s="1"/>
    </row>
    <row r="767" spans="1:8">
      <c r="A767" s="2"/>
      <c r="B767" s="12"/>
      <c r="C767" s="2"/>
      <c r="D767" s="13"/>
      <c r="E767" s="8" t="str">
        <f>IF(C767="","",MAX(0,SUMIFS('CHIT REGISTER (ಮಾಸಿಕ ಚಿಟ್ ನೋಂದಣ'!$D$5:$D$502,'CHIT REGISTER (ಮಾಸಿಕ ಚಿಟ್ ನೋಂದಣ'!$F$5:$F$502,C767,'CHIT REGISTER (ಮಾಸಿಕ ಚಿಟ್ ನೋಂದಣ'!$G$5:$G$502,"UNPAID")-IF(F767="PAID",N(D767),0)))</f>
        <v/>
      </c>
      <c r="F767" s="4"/>
      <c r="G767" s="12"/>
      <c r="H767" s="2"/>
    </row>
    <row r="768" spans="1:8">
      <c r="A768" s="1"/>
      <c r="B768" s="14"/>
      <c r="C768" s="1"/>
      <c r="D768" s="15"/>
      <c r="E768" s="9" t="str">
        <f>IF(C768="","",MAX(0,SUMIFS('CHIT REGISTER (ಮಾಸಿಕ ಚಿಟ್ ನೋಂದಣ'!$D$5:$D$502,'CHIT REGISTER (ಮಾಸಿಕ ಚಿಟ್ ನೋಂದಣ'!$F$5:$F$502,C768,'CHIT REGISTER (ಮಾಸಿಕ ಚಿಟ್ ನೋಂದಣ'!$G$5:$G$502,"UNPAID")-IF(F768="PAID",N(D768),0)))</f>
        <v/>
      </c>
      <c r="F768" s="3"/>
      <c r="G768" s="14"/>
      <c r="H768" s="1"/>
    </row>
    <row r="769" spans="1:8">
      <c r="A769" s="2"/>
      <c r="B769" s="12"/>
      <c r="C769" s="2"/>
      <c r="D769" s="13"/>
      <c r="E769" s="8" t="str">
        <f>IF(C769="","",MAX(0,SUMIFS('CHIT REGISTER (ಮಾಸಿಕ ಚಿಟ್ ನೋಂದಣ'!$D$5:$D$502,'CHIT REGISTER (ಮಾಸಿಕ ಚಿಟ್ ನೋಂದಣ'!$F$5:$F$502,C769,'CHIT REGISTER (ಮಾಸಿಕ ಚಿಟ್ ನೋಂದಣ'!$G$5:$G$502,"UNPAID")-IF(F769="PAID",N(D769),0)))</f>
        <v/>
      </c>
      <c r="F769" s="4"/>
      <c r="G769" s="12"/>
      <c r="H769" s="2"/>
    </row>
    <row r="770" spans="1:8">
      <c r="A770" s="1"/>
      <c r="B770" s="14"/>
      <c r="C770" s="1"/>
      <c r="D770" s="15"/>
      <c r="E770" s="9" t="str">
        <f>IF(C770="","",MAX(0,SUMIFS('CHIT REGISTER (ಮಾಸಿಕ ಚಿಟ್ ನೋಂದಣ'!$D$5:$D$502,'CHIT REGISTER (ಮಾಸಿಕ ಚಿಟ್ ನೋಂದಣ'!$F$5:$F$502,C770,'CHIT REGISTER (ಮಾಸಿಕ ಚಿಟ್ ನೋಂದಣ'!$G$5:$G$502,"UNPAID")-IF(F770="PAID",N(D770),0)))</f>
        <v/>
      </c>
      <c r="F770" s="3"/>
      <c r="G770" s="14"/>
      <c r="H770" s="1"/>
    </row>
    <row r="771" spans="1:8">
      <c r="A771" s="2"/>
      <c r="B771" s="12"/>
      <c r="C771" s="2"/>
      <c r="D771" s="13"/>
      <c r="E771" s="8" t="str">
        <f>IF(C771="","",MAX(0,SUMIFS('CHIT REGISTER (ಮಾಸಿಕ ಚಿಟ್ ನೋಂದಣ'!$D$5:$D$502,'CHIT REGISTER (ಮಾಸಿಕ ಚಿಟ್ ನೋಂದಣ'!$F$5:$F$502,C771,'CHIT REGISTER (ಮಾಸಿಕ ಚಿಟ್ ನೋಂದಣ'!$G$5:$G$502,"UNPAID")-IF(F771="PAID",N(D771),0)))</f>
        <v/>
      </c>
      <c r="F771" s="4"/>
      <c r="G771" s="12"/>
      <c r="H771" s="2"/>
    </row>
    <row r="772" spans="1:8">
      <c r="A772" s="1"/>
      <c r="B772" s="14"/>
      <c r="C772" s="1"/>
      <c r="D772" s="15"/>
      <c r="E772" s="9" t="str">
        <f>IF(C772="","",MAX(0,SUMIFS('CHIT REGISTER (ಮಾಸಿಕ ಚಿಟ್ ನೋಂದಣ'!$D$5:$D$502,'CHIT REGISTER (ಮಾಸಿಕ ಚಿಟ್ ನೋಂದಣ'!$F$5:$F$502,C772,'CHIT REGISTER (ಮಾಸಿಕ ಚಿಟ್ ನೋಂದಣ'!$G$5:$G$502,"UNPAID")-IF(F772="PAID",N(D772),0)))</f>
        <v/>
      </c>
      <c r="F772" s="3"/>
      <c r="G772" s="14"/>
      <c r="H772" s="1"/>
    </row>
    <row r="773" spans="1:8">
      <c r="A773" s="2"/>
      <c r="B773" s="12"/>
      <c r="C773" s="2"/>
      <c r="D773" s="13"/>
      <c r="E773" s="8" t="str">
        <f>IF(C773="","",MAX(0,SUMIFS('CHIT REGISTER (ಮಾಸಿಕ ಚಿಟ್ ನೋಂದಣ'!$D$5:$D$502,'CHIT REGISTER (ಮಾಸಿಕ ಚಿಟ್ ನೋಂದಣ'!$F$5:$F$502,C773,'CHIT REGISTER (ಮಾಸಿಕ ಚಿಟ್ ನೋಂದಣ'!$G$5:$G$502,"UNPAID")-IF(F773="PAID",N(D773),0)))</f>
        <v/>
      </c>
      <c r="F773" s="4"/>
      <c r="G773" s="12"/>
      <c r="H773" s="2"/>
    </row>
    <row r="774" spans="1:8">
      <c r="A774" s="1"/>
      <c r="B774" s="14"/>
      <c r="C774" s="1"/>
      <c r="D774" s="15"/>
      <c r="E774" s="9" t="str">
        <f>IF(C774="","",MAX(0,SUMIFS('CHIT REGISTER (ಮಾಸಿಕ ಚಿಟ್ ನೋಂದಣ'!$D$5:$D$502,'CHIT REGISTER (ಮಾಸಿಕ ಚಿಟ್ ನೋಂದಣ'!$F$5:$F$502,C774,'CHIT REGISTER (ಮಾಸಿಕ ಚಿಟ್ ನೋಂದಣ'!$G$5:$G$502,"UNPAID")-IF(F774="PAID",N(D774),0)))</f>
        <v/>
      </c>
      <c r="F774" s="3"/>
      <c r="G774" s="14"/>
      <c r="H774" s="1"/>
    </row>
    <row r="775" spans="1:8">
      <c r="A775" s="2"/>
      <c r="B775" s="12"/>
      <c r="C775" s="2"/>
      <c r="D775" s="13"/>
      <c r="E775" s="8" t="str">
        <f>IF(C775="","",MAX(0,SUMIFS('CHIT REGISTER (ಮಾಸಿಕ ಚಿಟ್ ನೋಂದಣ'!$D$5:$D$502,'CHIT REGISTER (ಮಾಸಿಕ ಚಿಟ್ ನೋಂದಣ'!$F$5:$F$502,C775,'CHIT REGISTER (ಮಾಸಿಕ ಚಿಟ್ ನೋಂದಣ'!$G$5:$G$502,"UNPAID")-IF(F775="PAID",N(D775),0)))</f>
        <v/>
      </c>
      <c r="F775" s="4"/>
      <c r="G775" s="12"/>
      <c r="H775" s="2"/>
    </row>
    <row r="776" spans="1:8">
      <c r="A776" s="1"/>
      <c r="B776" s="14"/>
      <c r="C776" s="1"/>
      <c r="D776" s="15"/>
      <c r="E776" s="9" t="str">
        <f>IF(C776="","",MAX(0,SUMIFS('CHIT REGISTER (ಮಾಸಿಕ ಚಿಟ್ ನೋಂದಣ'!$D$5:$D$502,'CHIT REGISTER (ಮಾಸಿಕ ಚಿಟ್ ನೋಂದಣ'!$F$5:$F$502,C776,'CHIT REGISTER (ಮಾಸಿಕ ಚಿಟ್ ನೋಂದಣ'!$G$5:$G$502,"UNPAID")-IF(F776="PAID",N(D776),0)))</f>
        <v/>
      </c>
      <c r="F776" s="3"/>
      <c r="G776" s="14"/>
      <c r="H776" s="1"/>
    </row>
    <row r="777" spans="1:8">
      <c r="A777" s="2"/>
      <c r="B777" s="12"/>
      <c r="C777" s="2"/>
      <c r="D777" s="13"/>
      <c r="E777" s="8" t="str">
        <f>IF(C777="","",MAX(0,SUMIFS('CHIT REGISTER (ಮಾಸಿಕ ಚಿಟ್ ನೋಂದಣ'!$D$5:$D$502,'CHIT REGISTER (ಮಾಸಿಕ ಚಿಟ್ ನೋಂದಣ'!$F$5:$F$502,C777,'CHIT REGISTER (ಮಾಸಿಕ ಚಿಟ್ ನೋಂದಣ'!$G$5:$G$502,"UNPAID")-IF(F777="PAID",N(D777),0)))</f>
        <v/>
      </c>
      <c r="F777" s="4"/>
      <c r="G777" s="12"/>
      <c r="H777" s="2"/>
    </row>
    <row r="778" spans="1:8">
      <c r="A778" s="1"/>
      <c r="B778" s="14"/>
      <c r="C778" s="1"/>
      <c r="D778" s="15"/>
      <c r="E778" s="9" t="str">
        <f>IF(C778="","",MAX(0,SUMIFS('CHIT REGISTER (ಮಾಸಿಕ ಚಿಟ್ ನೋಂದಣ'!$D$5:$D$502,'CHIT REGISTER (ಮಾಸಿಕ ಚಿಟ್ ನೋಂದಣ'!$F$5:$F$502,C778,'CHIT REGISTER (ಮಾಸಿಕ ಚಿಟ್ ನೋಂದಣ'!$G$5:$G$502,"UNPAID")-IF(F778="PAID",N(D778),0)))</f>
        <v/>
      </c>
      <c r="F778" s="3"/>
      <c r="G778" s="14"/>
      <c r="H778" s="1"/>
    </row>
    <row r="779" spans="1:8">
      <c r="A779" s="2"/>
      <c r="B779" s="12"/>
      <c r="C779" s="2"/>
      <c r="D779" s="13"/>
      <c r="E779" s="8" t="str">
        <f>IF(C779="","",MAX(0,SUMIFS('CHIT REGISTER (ಮಾಸಿಕ ಚಿಟ್ ನೋಂದಣ'!$D$5:$D$502,'CHIT REGISTER (ಮಾಸಿಕ ಚಿಟ್ ನೋಂದಣ'!$F$5:$F$502,C779,'CHIT REGISTER (ಮಾಸಿಕ ಚಿಟ್ ನೋಂದಣ'!$G$5:$G$502,"UNPAID")-IF(F779="PAID",N(D779),0)))</f>
        <v/>
      </c>
      <c r="F779" s="4"/>
      <c r="G779" s="12"/>
      <c r="H779" s="2"/>
    </row>
    <row r="780" spans="1:8">
      <c r="A780" s="1"/>
      <c r="B780" s="14"/>
      <c r="C780" s="1"/>
      <c r="D780" s="15"/>
      <c r="E780" s="9" t="str">
        <f>IF(C780="","",MAX(0,SUMIFS('CHIT REGISTER (ಮಾಸಿಕ ಚಿಟ್ ನೋಂದಣ'!$D$5:$D$502,'CHIT REGISTER (ಮಾಸಿಕ ಚಿಟ್ ನೋಂದಣ'!$F$5:$F$502,C780,'CHIT REGISTER (ಮಾಸಿಕ ಚಿಟ್ ನೋಂದಣ'!$G$5:$G$502,"UNPAID")-IF(F780="PAID",N(D780),0)))</f>
        <v/>
      </c>
      <c r="F780" s="3"/>
      <c r="G780" s="14"/>
      <c r="H780" s="1"/>
    </row>
    <row r="781" spans="1:8">
      <c r="A781" s="2"/>
      <c r="B781" s="12"/>
      <c r="C781" s="2"/>
      <c r="D781" s="13"/>
      <c r="E781" s="8" t="str">
        <f>IF(C781="","",MAX(0,SUMIFS('CHIT REGISTER (ಮಾಸಿಕ ಚಿಟ್ ನೋಂದಣ'!$D$5:$D$502,'CHIT REGISTER (ಮಾಸಿಕ ಚಿಟ್ ನೋಂದಣ'!$F$5:$F$502,C781,'CHIT REGISTER (ಮಾಸಿಕ ಚಿಟ್ ನೋಂದಣ'!$G$5:$G$502,"UNPAID")-IF(F781="PAID",N(D781),0)))</f>
        <v/>
      </c>
      <c r="F781" s="4"/>
      <c r="G781" s="12"/>
      <c r="H781" s="2"/>
    </row>
    <row r="782" spans="1:8">
      <c r="A782" s="1"/>
      <c r="B782" s="14"/>
      <c r="C782" s="1"/>
      <c r="D782" s="15"/>
      <c r="E782" s="9" t="str">
        <f>IF(C782="","",MAX(0,SUMIFS('CHIT REGISTER (ಮಾಸಿಕ ಚಿಟ್ ನೋಂದಣ'!$D$5:$D$502,'CHIT REGISTER (ಮಾಸಿಕ ಚಿಟ್ ನೋಂದಣ'!$F$5:$F$502,C782,'CHIT REGISTER (ಮಾಸಿಕ ಚಿಟ್ ನೋಂದಣ'!$G$5:$G$502,"UNPAID")-IF(F782="PAID",N(D782),0)))</f>
        <v/>
      </c>
      <c r="F782" s="3"/>
      <c r="G782" s="14"/>
      <c r="H782" s="1"/>
    </row>
    <row r="783" spans="1:8">
      <c r="A783" s="2"/>
      <c r="B783" s="12"/>
      <c r="C783" s="2"/>
      <c r="D783" s="13"/>
      <c r="E783" s="8" t="str">
        <f>IF(C783="","",MAX(0,SUMIFS('CHIT REGISTER (ಮಾಸಿಕ ಚಿಟ್ ನೋಂದಣ'!$D$5:$D$502,'CHIT REGISTER (ಮಾಸಿಕ ಚಿಟ್ ನೋಂದಣ'!$F$5:$F$502,C783,'CHIT REGISTER (ಮಾಸಿಕ ಚಿಟ್ ನೋಂದಣ'!$G$5:$G$502,"UNPAID")-IF(F783="PAID",N(D783),0)))</f>
        <v/>
      </c>
      <c r="F783" s="4"/>
      <c r="G783" s="12"/>
      <c r="H783" s="2"/>
    </row>
    <row r="784" spans="1:8">
      <c r="A784" s="1"/>
      <c r="B784" s="14"/>
      <c r="C784" s="1"/>
      <c r="D784" s="15"/>
      <c r="E784" s="9" t="str">
        <f>IF(C784="","",MAX(0,SUMIFS('CHIT REGISTER (ಮಾಸಿಕ ಚಿಟ್ ನೋಂದಣ'!$D$5:$D$502,'CHIT REGISTER (ಮಾಸಿಕ ಚಿಟ್ ನೋಂದಣ'!$F$5:$F$502,C784,'CHIT REGISTER (ಮಾಸಿಕ ಚಿಟ್ ನೋಂದಣ'!$G$5:$G$502,"UNPAID")-IF(F784="PAID",N(D784),0)))</f>
        <v/>
      </c>
      <c r="F784" s="3"/>
      <c r="G784" s="14"/>
      <c r="H784" s="1"/>
    </row>
    <row r="785" spans="1:8">
      <c r="A785" s="2"/>
      <c r="B785" s="12"/>
      <c r="C785" s="2"/>
      <c r="D785" s="13"/>
      <c r="E785" s="8" t="str">
        <f>IF(C785="","",MAX(0,SUMIFS('CHIT REGISTER (ಮಾಸಿಕ ಚಿಟ್ ನೋಂದಣ'!$D$5:$D$502,'CHIT REGISTER (ಮಾಸಿಕ ಚಿಟ್ ನೋಂದಣ'!$F$5:$F$502,C785,'CHIT REGISTER (ಮಾಸಿಕ ಚಿಟ್ ನೋಂದಣ'!$G$5:$G$502,"UNPAID")-IF(F785="PAID",N(D785),0)))</f>
        <v/>
      </c>
      <c r="F785" s="4"/>
      <c r="G785" s="12"/>
      <c r="H785" s="2"/>
    </row>
    <row r="786" spans="1:8">
      <c r="A786" s="1"/>
      <c r="B786" s="14"/>
      <c r="C786" s="1"/>
      <c r="D786" s="15"/>
      <c r="E786" s="9" t="str">
        <f>IF(C786="","",MAX(0,SUMIFS('CHIT REGISTER (ಮಾಸಿಕ ಚಿಟ್ ನೋಂದಣ'!$D$5:$D$502,'CHIT REGISTER (ಮಾಸಿಕ ಚಿಟ್ ನೋಂದಣ'!$F$5:$F$502,C786,'CHIT REGISTER (ಮಾಸಿಕ ಚಿಟ್ ನೋಂದಣ'!$G$5:$G$502,"UNPAID")-IF(F786="PAID",N(D786),0)))</f>
        <v/>
      </c>
      <c r="F786" s="3"/>
      <c r="G786" s="14"/>
      <c r="H786" s="1"/>
    </row>
    <row r="787" spans="1:8">
      <c r="A787" s="2"/>
      <c r="B787" s="12"/>
      <c r="C787" s="2"/>
      <c r="D787" s="13"/>
      <c r="E787" s="8" t="str">
        <f>IF(C787="","",MAX(0,SUMIFS('CHIT REGISTER (ಮಾಸಿಕ ಚಿಟ್ ನೋಂದಣ'!$D$5:$D$502,'CHIT REGISTER (ಮಾಸಿಕ ಚಿಟ್ ನೋಂದಣ'!$F$5:$F$502,C787,'CHIT REGISTER (ಮಾಸಿಕ ಚಿಟ್ ನೋಂದಣ'!$G$5:$G$502,"UNPAID")-IF(F787="PAID",N(D787),0)))</f>
        <v/>
      </c>
      <c r="F787" s="4"/>
      <c r="G787" s="12"/>
      <c r="H787" s="2"/>
    </row>
    <row r="788" spans="1:8">
      <c r="A788" s="1"/>
      <c r="B788" s="14"/>
      <c r="C788" s="1"/>
      <c r="D788" s="15"/>
      <c r="E788" s="9" t="str">
        <f>IF(C788="","",MAX(0,SUMIFS('CHIT REGISTER (ಮಾಸಿಕ ಚಿಟ್ ನೋಂದಣ'!$D$5:$D$502,'CHIT REGISTER (ಮಾಸಿಕ ಚಿಟ್ ನೋಂದಣ'!$F$5:$F$502,C788,'CHIT REGISTER (ಮಾಸಿಕ ಚಿಟ್ ನೋಂದಣ'!$G$5:$G$502,"UNPAID")-IF(F788="PAID",N(D788),0)))</f>
        <v/>
      </c>
      <c r="F788" s="3"/>
      <c r="G788" s="14"/>
      <c r="H788" s="1"/>
    </row>
    <row r="789" spans="1:8">
      <c r="A789" s="2"/>
      <c r="B789" s="12"/>
      <c r="C789" s="2"/>
      <c r="D789" s="13"/>
      <c r="E789" s="8" t="str">
        <f>IF(C789="","",MAX(0,SUMIFS('CHIT REGISTER (ಮಾಸಿಕ ಚಿಟ್ ನೋಂದಣ'!$D$5:$D$502,'CHIT REGISTER (ಮಾಸಿಕ ಚಿಟ್ ನೋಂದಣ'!$F$5:$F$502,C789,'CHIT REGISTER (ಮಾಸಿಕ ಚಿಟ್ ನೋಂದಣ'!$G$5:$G$502,"UNPAID")-IF(F789="PAID",N(D789),0)))</f>
        <v/>
      </c>
      <c r="F789" s="4"/>
      <c r="G789" s="12"/>
      <c r="H789" s="2"/>
    </row>
    <row r="790" spans="1:8">
      <c r="A790" s="1"/>
      <c r="B790" s="14"/>
      <c r="C790" s="1"/>
      <c r="D790" s="15"/>
      <c r="E790" s="9" t="str">
        <f>IF(C790="","",MAX(0,SUMIFS('CHIT REGISTER (ಮಾಸಿಕ ಚಿಟ್ ನೋಂದಣ'!$D$5:$D$502,'CHIT REGISTER (ಮಾಸಿಕ ಚಿಟ್ ನೋಂದಣ'!$F$5:$F$502,C790,'CHIT REGISTER (ಮಾಸಿಕ ಚಿಟ್ ನೋಂದಣ'!$G$5:$G$502,"UNPAID")-IF(F790="PAID",N(D790),0)))</f>
        <v/>
      </c>
      <c r="F790" s="3"/>
      <c r="G790" s="14"/>
      <c r="H790" s="1"/>
    </row>
    <row r="791" spans="1:8">
      <c r="A791" s="2"/>
      <c r="B791" s="12"/>
      <c r="C791" s="2"/>
      <c r="D791" s="13"/>
      <c r="E791" s="8" t="str">
        <f>IF(C791="","",MAX(0,SUMIFS('CHIT REGISTER (ಮಾಸಿಕ ಚಿಟ್ ನೋಂದಣ'!$D$5:$D$502,'CHIT REGISTER (ಮಾಸಿಕ ಚಿಟ್ ನೋಂದಣ'!$F$5:$F$502,C791,'CHIT REGISTER (ಮಾಸಿಕ ಚಿಟ್ ನೋಂದಣ'!$G$5:$G$502,"UNPAID")-IF(F791="PAID",N(D791),0)))</f>
        <v/>
      </c>
      <c r="F791" s="4"/>
      <c r="G791" s="12"/>
      <c r="H791" s="2"/>
    </row>
    <row r="792" spans="1:8">
      <c r="A792" s="1"/>
      <c r="B792" s="14"/>
      <c r="C792" s="1"/>
      <c r="D792" s="15"/>
      <c r="E792" s="9" t="str">
        <f>IF(C792="","",MAX(0,SUMIFS('CHIT REGISTER (ಮಾಸಿಕ ಚಿಟ್ ನೋಂದಣ'!$D$5:$D$502,'CHIT REGISTER (ಮಾಸಿಕ ಚಿಟ್ ನೋಂದಣ'!$F$5:$F$502,C792,'CHIT REGISTER (ಮಾಸಿಕ ಚಿಟ್ ನೋಂದಣ'!$G$5:$G$502,"UNPAID")-IF(F792="PAID",N(D792),0)))</f>
        <v/>
      </c>
      <c r="F792" s="3"/>
      <c r="G792" s="14"/>
      <c r="H792" s="1"/>
    </row>
    <row r="793" spans="1:8">
      <c r="A793" s="2"/>
      <c r="B793" s="12"/>
      <c r="C793" s="2"/>
      <c r="D793" s="13"/>
      <c r="E793" s="8" t="str">
        <f>IF(C793="","",MAX(0,SUMIFS('CHIT REGISTER (ಮಾಸಿಕ ಚಿಟ್ ನೋಂದಣ'!$D$5:$D$502,'CHIT REGISTER (ಮಾಸಿಕ ಚಿಟ್ ನೋಂದಣ'!$F$5:$F$502,C793,'CHIT REGISTER (ಮಾಸಿಕ ಚಿಟ್ ನೋಂದಣ'!$G$5:$G$502,"UNPAID")-IF(F793="PAID",N(D793),0)))</f>
        <v/>
      </c>
      <c r="F793" s="4"/>
      <c r="G793" s="12"/>
      <c r="H793" s="2"/>
    </row>
    <row r="794" spans="1:8">
      <c r="A794" s="1"/>
      <c r="B794" s="14"/>
      <c r="C794" s="1"/>
      <c r="D794" s="15"/>
      <c r="E794" s="9" t="str">
        <f>IF(C794="","",MAX(0,SUMIFS('CHIT REGISTER (ಮಾಸಿಕ ಚಿಟ್ ನೋಂದಣ'!$D$5:$D$502,'CHIT REGISTER (ಮಾಸಿಕ ಚಿಟ್ ನೋಂದಣ'!$F$5:$F$502,C794,'CHIT REGISTER (ಮಾಸಿಕ ಚಿಟ್ ನೋಂದಣ'!$G$5:$G$502,"UNPAID")-IF(F794="PAID",N(D794),0)))</f>
        <v/>
      </c>
      <c r="F794" s="3"/>
      <c r="G794" s="14"/>
      <c r="H794" s="1"/>
    </row>
    <row r="795" spans="1:8">
      <c r="A795" s="2"/>
      <c r="B795" s="12"/>
      <c r="C795" s="2"/>
      <c r="D795" s="13"/>
      <c r="E795" s="8" t="str">
        <f>IF(C795="","",MAX(0,SUMIFS('CHIT REGISTER (ಮಾಸಿಕ ಚಿಟ್ ನೋಂದಣ'!$D$5:$D$502,'CHIT REGISTER (ಮಾಸಿಕ ಚಿಟ್ ನೋಂದಣ'!$F$5:$F$502,C795,'CHIT REGISTER (ಮಾಸಿಕ ಚಿಟ್ ನೋಂದಣ'!$G$5:$G$502,"UNPAID")-IF(F795="PAID",N(D795),0)))</f>
        <v/>
      </c>
      <c r="F795" s="4"/>
      <c r="G795" s="12"/>
      <c r="H795" s="2"/>
    </row>
    <row r="796" spans="1:8">
      <c r="A796" s="1"/>
      <c r="B796" s="14"/>
      <c r="C796" s="1"/>
      <c r="D796" s="15"/>
      <c r="E796" s="9" t="str">
        <f>IF(C796="","",MAX(0,SUMIFS('CHIT REGISTER (ಮಾಸಿಕ ಚಿಟ್ ನೋಂದಣ'!$D$5:$D$502,'CHIT REGISTER (ಮಾಸಿಕ ಚಿಟ್ ನೋಂದಣ'!$F$5:$F$502,C796,'CHIT REGISTER (ಮಾಸಿಕ ಚಿಟ್ ನೋಂದಣ'!$G$5:$G$502,"UNPAID")-IF(F796="PAID",N(D796),0)))</f>
        <v/>
      </c>
      <c r="F796" s="3"/>
      <c r="G796" s="14"/>
      <c r="H796" s="1"/>
    </row>
    <row r="797" spans="1:8">
      <c r="A797" s="2"/>
      <c r="B797" s="12"/>
      <c r="C797" s="2"/>
      <c r="D797" s="13"/>
      <c r="E797" s="8" t="str">
        <f>IF(C797="","",MAX(0,SUMIFS('CHIT REGISTER (ಮಾಸಿಕ ಚಿಟ್ ನೋಂದಣ'!$D$5:$D$502,'CHIT REGISTER (ಮಾಸಿಕ ಚಿಟ್ ನೋಂದಣ'!$F$5:$F$502,C797,'CHIT REGISTER (ಮಾಸಿಕ ಚಿಟ್ ನೋಂದಣ'!$G$5:$G$502,"UNPAID")-IF(F797="PAID",N(D797),0)))</f>
        <v/>
      </c>
      <c r="F797" s="4"/>
      <c r="G797" s="12"/>
      <c r="H797" s="2"/>
    </row>
    <row r="798" spans="1:8">
      <c r="A798" s="1"/>
      <c r="B798" s="14"/>
      <c r="C798" s="1"/>
      <c r="D798" s="15"/>
      <c r="E798" s="9" t="str">
        <f>IF(C798="","",MAX(0,SUMIFS('CHIT REGISTER (ಮಾಸಿಕ ಚಿಟ್ ನೋಂದಣ'!$D$5:$D$502,'CHIT REGISTER (ಮಾಸಿಕ ಚಿಟ್ ನೋಂದಣ'!$F$5:$F$502,C798,'CHIT REGISTER (ಮಾಸಿಕ ಚಿಟ್ ನೋಂದಣ'!$G$5:$G$502,"UNPAID")-IF(F798="PAID",N(D798),0)))</f>
        <v/>
      </c>
      <c r="F798" s="3"/>
      <c r="G798" s="14"/>
      <c r="H798" s="1"/>
    </row>
    <row r="799" spans="1:8">
      <c r="A799" s="2"/>
      <c r="B799" s="12"/>
      <c r="C799" s="2"/>
      <c r="D799" s="13"/>
      <c r="E799" s="8" t="str">
        <f>IF(C799="","",MAX(0,SUMIFS('CHIT REGISTER (ಮಾಸಿಕ ಚಿಟ್ ನೋಂದಣ'!$D$5:$D$502,'CHIT REGISTER (ಮಾಸಿಕ ಚಿಟ್ ನೋಂದಣ'!$F$5:$F$502,C799,'CHIT REGISTER (ಮಾಸಿಕ ಚಿಟ್ ನೋಂದಣ'!$G$5:$G$502,"UNPAID")-IF(F799="PAID",N(D799),0)))</f>
        <v/>
      </c>
      <c r="F799" s="4"/>
      <c r="G799" s="12"/>
      <c r="H799" s="2"/>
    </row>
    <row r="800" spans="1:8">
      <c r="A800" s="1"/>
      <c r="B800" s="14"/>
      <c r="C800" s="1"/>
      <c r="D800" s="15"/>
      <c r="E800" s="9" t="str">
        <f>IF(C800="","",MAX(0,SUMIFS('CHIT REGISTER (ಮಾಸಿಕ ಚಿಟ್ ನೋಂದಣ'!$D$5:$D$502,'CHIT REGISTER (ಮಾಸಿಕ ಚಿಟ್ ನೋಂದಣ'!$F$5:$F$502,C800,'CHIT REGISTER (ಮಾಸಿಕ ಚಿಟ್ ನೋಂದಣ'!$G$5:$G$502,"UNPAID")-IF(F800="PAID",N(D800),0)))</f>
        <v/>
      </c>
      <c r="F800" s="3"/>
      <c r="G800" s="14"/>
      <c r="H800" s="1"/>
    </row>
    <row r="801" spans="1:8">
      <c r="A801" s="2"/>
      <c r="B801" s="12"/>
      <c r="C801" s="2"/>
      <c r="D801" s="13"/>
      <c r="E801" s="8" t="str">
        <f>IF(C801="","",MAX(0,SUMIFS('CHIT REGISTER (ಮಾಸಿಕ ಚಿಟ್ ನೋಂದಣ'!$D$5:$D$502,'CHIT REGISTER (ಮಾಸಿಕ ಚಿಟ್ ನೋಂದಣ'!$F$5:$F$502,C801,'CHIT REGISTER (ಮಾಸಿಕ ಚಿಟ್ ನೋಂದಣ'!$G$5:$G$502,"UNPAID")-IF(F801="PAID",N(D801),0)))</f>
        <v/>
      </c>
      <c r="F801" s="4"/>
      <c r="G801" s="12"/>
      <c r="H801" s="2"/>
    </row>
    <row r="802" spans="1:8">
      <c r="A802" s="1"/>
      <c r="B802" s="14"/>
      <c r="C802" s="1"/>
      <c r="D802" s="15"/>
      <c r="E802" s="9" t="str">
        <f>IF(C802="","",MAX(0,SUMIFS('CHIT REGISTER (ಮಾಸಿಕ ಚಿಟ್ ನೋಂದಣ'!$D$5:$D$502,'CHIT REGISTER (ಮಾಸಿಕ ಚಿಟ್ ನೋಂದಣ'!$F$5:$F$502,C802,'CHIT REGISTER (ಮಾಸಿಕ ಚಿಟ್ ನೋಂದಣ'!$G$5:$G$502,"UNPAID")-IF(F802="PAID",N(D802),0)))</f>
        <v/>
      </c>
      <c r="F802" s="3"/>
      <c r="G802" s="14"/>
      <c r="H802" s="1"/>
    </row>
    <row r="803" spans="1:8">
      <c r="A803" s="2"/>
      <c r="B803" s="12"/>
      <c r="C803" s="2"/>
      <c r="D803" s="13"/>
      <c r="E803" s="8" t="str">
        <f>IF(C803="","",MAX(0,SUMIFS('CHIT REGISTER (ಮಾಸಿಕ ಚಿಟ್ ನೋಂದಣ'!$D$5:$D$502,'CHIT REGISTER (ಮಾಸಿಕ ಚಿಟ್ ನೋಂದಣ'!$F$5:$F$502,C803,'CHIT REGISTER (ಮಾಸಿಕ ಚಿಟ್ ನೋಂದಣ'!$G$5:$G$502,"UNPAID")-IF(F803="PAID",N(D803),0)))</f>
        <v/>
      </c>
      <c r="F803" s="4"/>
      <c r="G803" s="12"/>
      <c r="H803" s="2"/>
    </row>
    <row r="804" spans="1:8">
      <c r="A804" s="1"/>
      <c r="B804" s="14"/>
      <c r="C804" s="1"/>
      <c r="D804" s="15"/>
      <c r="E804" s="9" t="str">
        <f>IF(C804="","",MAX(0,SUMIFS('CHIT REGISTER (ಮಾಸಿಕ ಚಿಟ್ ನೋಂದಣ'!$D$5:$D$502,'CHIT REGISTER (ಮಾಸಿಕ ಚಿಟ್ ನೋಂದಣ'!$F$5:$F$502,C804,'CHIT REGISTER (ಮಾಸಿಕ ಚಿಟ್ ನೋಂದಣ'!$G$5:$G$502,"UNPAID")-IF(F804="PAID",N(D804),0)))</f>
        <v/>
      </c>
      <c r="F804" s="3"/>
      <c r="G804" s="14"/>
      <c r="H804" s="1"/>
    </row>
    <row r="805" spans="1:8">
      <c r="A805" s="2"/>
      <c r="B805" s="12"/>
      <c r="C805" s="2"/>
      <c r="D805" s="13"/>
      <c r="E805" s="8" t="str">
        <f>IF(C805="","",MAX(0,SUMIFS('CHIT REGISTER (ಮಾಸಿಕ ಚಿಟ್ ನೋಂದಣ'!$D$5:$D$502,'CHIT REGISTER (ಮಾಸಿಕ ಚಿಟ್ ನೋಂದಣ'!$F$5:$F$502,C805,'CHIT REGISTER (ಮಾಸಿಕ ಚಿಟ್ ನೋಂದಣ'!$G$5:$G$502,"UNPAID")-IF(F805="PAID",N(D805),0)))</f>
        <v/>
      </c>
      <c r="F805" s="4"/>
      <c r="G805" s="12"/>
      <c r="H805" s="2"/>
    </row>
    <row r="806" spans="1:8">
      <c r="A806" s="1"/>
      <c r="B806" s="14"/>
      <c r="C806" s="1"/>
      <c r="D806" s="15"/>
      <c r="E806" s="9" t="str">
        <f>IF(C806="","",MAX(0,SUMIFS('CHIT REGISTER (ಮಾಸಿಕ ಚಿಟ್ ನೋಂದಣ'!$D$5:$D$502,'CHIT REGISTER (ಮಾಸಿಕ ಚಿಟ್ ನೋಂದಣ'!$F$5:$F$502,C806,'CHIT REGISTER (ಮಾಸಿಕ ಚಿಟ್ ನೋಂದಣ'!$G$5:$G$502,"UNPAID")-IF(F806="PAID",N(D806),0)))</f>
        <v/>
      </c>
      <c r="F806" s="3"/>
      <c r="G806" s="14"/>
      <c r="H806" s="1"/>
    </row>
    <row r="807" spans="1:8">
      <c r="A807" s="2"/>
      <c r="B807" s="12"/>
      <c r="C807" s="2"/>
      <c r="D807" s="13"/>
      <c r="E807" s="8" t="str">
        <f>IF(C807="","",MAX(0,SUMIFS('CHIT REGISTER (ಮಾಸಿಕ ಚಿಟ್ ನೋಂದಣ'!$D$5:$D$502,'CHIT REGISTER (ಮಾಸಿಕ ಚಿಟ್ ನೋಂದಣ'!$F$5:$F$502,C807,'CHIT REGISTER (ಮಾಸಿಕ ಚಿಟ್ ನೋಂದಣ'!$G$5:$G$502,"UNPAID")-IF(F807="PAID",N(D807),0)))</f>
        <v/>
      </c>
      <c r="F807" s="4"/>
      <c r="G807" s="12"/>
      <c r="H807" s="2"/>
    </row>
    <row r="808" spans="1:8">
      <c r="A808" s="1"/>
      <c r="B808" s="14"/>
      <c r="C808" s="1"/>
      <c r="D808" s="15"/>
      <c r="E808" s="9" t="str">
        <f>IF(C808="","",MAX(0,SUMIFS('CHIT REGISTER (ಮಾಸಿಕ ಚಿಟ್ ನೋಂದಣ'!$D$5:$D$502,'CHIT REGISTER (ಮಾಸಿಕ ಚಿಟ್ ನೋಂದಣ'!$F$5:$F$502,C808,'CHIT REGISTER (ಮಾಸಿಕ ಚಿಟ್ ನೋಂದಣ'!$G$5:$G$502,"UNPAID")-IF(F808="PAID",N(D808),0)))</f>
        <v/>
      </c>
      <c r="F808" s="3"/>
      <c r="G808" s="14"/>
      <c r="H808" s="1"/>
    </row>
    <row r="809" spans="1:8">
      <c r="A809" s="2"/>
      <c r="B809" s="12"/>
      <c r="C809" s="2"/>
      <c r="D809" s="13"/>
      <c r="E809" s="8" t="str">
        <f>IF(C809="","",MAX(0,SUMIFS('CHIT REGISTER (ಮಾಸಿಕ ಚಿಟ್ ನೋಂದಣ'!$D$5:$D$502,'CHIT REGISTER (ಮಾಸಿಕ ಚಿಟ್ ನೋಂದಣ'!$F$5:$F$502,C809,'CHIT REGISTER (ಮಾಸಿಕ ಚಿಟ್ ನೋಂದಣ'!$G$5:$G$502,"UNPAID")-IF(F809="PAID",N(D809),0)))</f>
        <v/>
      </c>
      <c r="F809" s="4"/>
      <c r="G809" s="12"/>
      <c r="H809" s="2"/>
    </row>
    <row r="810" spans="1:8">
      <c r="A810" s="1"/>
      <c r="B810" s="14"/>
      <c r="C810" s="1"/>
      <c r="D810" s="15"/>
      <c r="E810" s="9" t="str">
        <f>IF(C810="","",MAX(0,SUMIFS('CHIT REGISTER (ಮಾಸಿಕ ಚಿಟ್ ನೋಂದಣ'!$D$5:$D$502,'CHIT REGISTER (ಮಾಸಿಕ ಚಿಟ್ ನೋಂದಣ'!$F$5:$F$502,C810,'CHIT REGISTER (ಮಾಸಿಕ ಚಿಟ್ ನೋಂದಣ'!$G$5:$G$502,"UNPAID")-IF(F810="PAID",N(D810),0)))</f>
        <v/>
      </c>
      <c r="F810" s="3"/>
      <c r="G810" s="14"/>
      <c r="H810" s="1"/>
    </row>
    <row r="811" spans="1:8">
      <c r="A811" s="2"/>
      <c r="B811" s="12"/>
      <c r="C811" s="2"/>
      <c r="D811" s="13"/>
      <c r="E811" s="8" t="str">
        <f>IF(C811="","",MAX(0,SUMIFS('CHIT REGISTER (ಮಾಸಿಕ ಚಿಟ್ ನೋಂದಣ'!$D$5:$D$502,'CHIT REGISTER (ಮಾಸಿಕ ಚಿಟ್ ನೋಂದಣ'!$F$5:$F$502,C811,'CHIT REGISTER (ಮಾಸಿಕ ಚಿಟ್ ನೋಂದಣ'!$G$5:$G$502,"UNPAID")-IF(F811="PAID",N(D811),0)))</f>
        <v/>
      </c>
      <c r="F811" s="4"/>
      <c r="G811" s="12"/>
      <c r="H811" s="2"/>
    </row>
    <row r="812" spans="1:8">
      <c r="A812" s="1"/>
      <c r="B812" s="14"/>
      <c r="C812" s="1"/>
      <c r="D812" s="15"/>
      <c r="E812" s="9" t="str">
        <f>IF(C812="","",MAX(0,SUMIFS('CHIT REGISTER (ಮಾಸಿಕ ಚಿಟ್ ನೋಂದಣ'!$D$5:$D$502,'CHIT REGISTER (ಮಾಸಿಕ ಚಿಟ್ ನೋಂದಣ'!$F$5:$F$502,C812,'CHIT REGISTER (ಮಾಸಿಕ ಚಿಟ್ ನೋಂದಣ'!$G$5:$G$502,"UNPAID")-IF(F812="PAID",N(D812),0)))</f>
        <v/>
      </c>
      <c r="F812" s="3"/>
      <c r="G812" s="14"/>
      <c r="H812" s="1"/>
    </row>
    <row r="813" spans="1:8">
      <c r="A813" s="2"/>
      <c r="B813" s="12"/>
      <c r="C813" s="2"/>
      <c r="D813" s="13"/>
      <c r="E813" s="8" t="str">
        <f>IF(C813="","",MAX(0,SUMIFS('CHIT REGISTER (ಮಾಸಿಕ ಚಿಟ್ ನೋಂದಣ'!$D$5:$D$502,'CHIT REGISTER (ಮಾಸಿಕ ಚಿಟ್ ನೋಂದಣ'!$F$5:$F$502,C813,'CHIT REGISTER (ಮಾಸಿಕ ಚಿಟ್ ನೋಂದಣ'!$G$5:$G$502,"UNPAID")-IF(F813="PAID",N(D813),0)))</f>
        <v/>
      </c>
      <c r="F813" s="4"/>
      <c r="G813" s="12"/>
      <c r="H813" s="2"/>
    </row>
    <row r="814" spans="1:8">
      <c r="A814" s="1"/>
      <c r="B814" s="14"/>
      <c r="C814" s="1"/>
      <c r="D814" s="15"/>
      <c r="E814" s="9" t="str">
        <f>IF(C814="","",MAX(0,SUMIFS('CHIT REGISTER (ಮಾಸಿಕ ಚಿಟ್ ನೋಂದಣ'!$D$5:$D$502,'CHIT REGISTER (ಮಾಸಿಕ ಚಿಟ್ ನೋಂದಣ'!$F$5:$F$502,C814,'CHIT REGISTER (ಮಾಸಿಕ ಚಿಟ್ ನೋಂದಣ'!$G$5:$G$502,"UNPAID")-IF(F814="PAID",N(D814),0)))</f>
        <v/>
      </c>
      <c r="F814" s="3"/>
      <c r="G814" s="14"/>
      <c r="H814" s="1"/>
    </row>
    <row r="815" spans="1:8">
      <c r="A815" s="2"/>
      <c r="B815" s="12"/>
      <c r="C815" s="2"/>
      <c r="D815" s="13"/>
      <c r="E815" s="8" t="str">
        <f>IF(C815="","",MAX(0,SUMIFS('CHIT REGISTER (ಮಾಸಿಕ ಚಿಟ್ ನೋಂದಣ'!$D$5:$D$502,'CHIT REGISTER (ಮಾಸಿಕ ಚಿಟ್ ನೋಂದಣ'!$F$5:$F$502,C815,'CHIT REGISTER (ಮಾಸಿಕ ಚಿಟ್ ನೋಂದಣ'!$G$5:$G$502,"UNPAID")-IF(F815="PAID",N(D815),0)))</f>
        <v/>
      </c>
      <c r="F815" s="4"/>
      <c r="G815" s="12"/>
      <c r="H815" s="2"/>
    </row>
    <row r="816" spans="1:8">
      <c r="A816" s="1"/>
      <c r="B816" s="14"/>
      <c r="C816" s="1"/>
      <c r="D816" s="15"/>
      <c r="E816" s="9" t="str">
        <f>IF(C816="","",MAX(0,SUMIFS('CHIT REGISTER (ಮಾಸಿಕ ಚಿಟ್ ನೋಂದಣ'!$D$5:$D$502,'CHIT REGISTER (ಮಾಸಿಕ ಚಿಟ್ ನೋಂದಣ'!$F$5:$F$502,C816,'CHIT REGISTER (ಮಾಸಿಕ ಚಿಟ್ ನೋಂದಣ'!$G$5:$G$502,"UNPAID")-IF(F816="PAID",N(D816),0)))</f>
        <v/>
      </c>
      <c r="F816" s="3"/>
      <c r="G816" s="14"/>
      <c r="H816" s="1"/>
    </row>
    <row r="817" spans="1:8">
      <c r="A817" s="2"/>
      <c r="B817" s="12"/>
      <c r="C817" s="2"/>
      <c r="D817" s="13"/>
      <c r="E817" s="8" t="str">
        <f>IF(C817="","",MAX(0,SUMIFS('CHIT REGISTER (ಮಾಸಿಕ ಚಿಟ್ ನೋಂದಣ'!$D$5:$D$502,'CHIT REGISTER (ಮಾಸಿಕ ಚಿಟ್ ನೋಂದಣ'!$F$5:$F$502,C817,'CHIT REGISTER (ಮಾಸಿಕ ಚಿಟ್ ನೋಂದಣ'!$G$5:$G$502,"UNPAID")-IF(F817="PAID",N(D817),0)))</f>
        <v/>
      </c>
      <c r="F817" s="4"/>
      <c r="G817" s="12"/>
      <c r="H817" s="2"/>
    </row>
    <row r="818" spans="1:8">
      <c r="A818" s="1"/>
      <c r="B818" s="14"/>
      <c r="C818" s="1"/>
      <c r="D818" s="15"/>
      <c r="E818" s="9" t="str">
        <f>IF(C818="","",MAX(0,SUMIFS('CHIT REGISTER (ಮಾಸಿಕ ಚಿಟ್ ನೋಂದಣ'!$D$5:$D$502,'CHIT REGISTER (ಮಾಸಿಕ ಚಿಟ್ ನೋಂದಣ'!$F$5:$F$502,C818,'CHIT REGISTER (ಮಾಸಿಕ ಚಿಟ್ ನೋಂದಣ'!$G$5:$G$502,"UNPAID")-IF(F818="PAID",N(D818),0)))</f>
        <v/>
      </c>
      <c r="F818" s="3"/>
      <c r="G818" s="14"/>
      <c r="H818" s="1"/>
    </row>
    <row r="819" spans="1:8">
      <c r="A819" s="2"/>
      <c r="B819" s="12"/>
      <c r="C819" s="2"/>
      <c r="D819" s="13"/>
      <c r="E819" s="8" t="str">
        <f>IF(C819="","",MAX(0,SUMIFS('CHIT REGISTER (ಮಾಸಿಕ ಚಿಟ್ ನೋಂದಣ'!$D$5:$D$502,'CHIT REGISTER (ಮಾಸಿಕ ಚಿಟ್ ನೋಂದಣ'!$F$5:$F$502,C819,'CHIT REGISTER (ಮಾಸಿಕ ಚಿಟ್ ನೋಂದಣ'!$G$5:$G$502,"UNPAID")-IF(F819="PAID",N(D819),0)))</f>
        <v/>
      </c>
      <c r="F819" s="4"/>
      <c r="G819" s="12"/>
      <c r="H819" s="2"/>
    </row>
    <row r="820" spans="1:8">
      <c r="A820" s="1"/>
      <c r="B820" s="14"/>
      <c r="C820" s="1"/>
      <c r="D820" s="15"/>
      <c r="E820" s="9" t="str">
        <f>IF(C820="","",MAX(0,SUMIFS('CHIT REGISTER (ಮಾಸಿಕ ಚಿಟ್ ನೋಂದಣ'!$D$5:$D$502,'CHIT REGISTER (ಮಾಸಿಕ ಚಿಟ್ ನೋಂದಣ'!$F$5:$F$502,C820,'CHIT REGISTER (ಮಾಸಿಕ ಚಿಟ್ ನೋಂದಣ'!$G$5:$G$502,"UNPAID")-IF(F820="PAID",N(D820),0)))</f>
        <v/>
      </c>
      <c r="F820" s="3"/>
      <c r="G820" s="14"/>
      <c r="H820" s="1"/>
    </row>
    <row r="821" spans="1:8">
      <c r="A821" s="2"/>
      <c r="B821" s="12"/>
      <c r="C821" s="2"/>
      <c r="D821" s="13"/>
      <c r="E821" s="8" t="str">
        <f>IF(C821="","",MAX(0,SUMIFS('CHIT REGISTER (ಮಾಸಿಕ ಚಿಟ್ ನೋಂದಣ'!$D$5:$D$502,'CHIT REGISTER (ಮಾಸಿಕ ಚಿಟ್ ನೋಂದಣ'!$F$5:$F$502,C821,'CHIT REGISTER (ಮಾಸಿಕ ಚಿಟ್ ನೋಂದಣ'!$G$5:$G$502,"UNPAID")-IF(F821="PAID",N(D821),0)))</f>
        <v/>
      </c>
      <c r="F821" s="4"/>
      <c r="G821" s="12"/>
      <c r="H821" s="2"/>
    </row>
    <row r="822" spans="1:8">
      <c r="A822" s="1"/>
      <c r="B822" s="14"/>
      <c r="C822" s="1"/>
      <c r="D822" s="15"/>
      <c r="E822" s="9" t="str">
        <f>IF(C822="","",MAX(0,SUMIFS('CHIT REGISTER (ಮಾಸಿಕ ಚಿಟ್ ನೋಂದಣ'!$D$5:$D$502,'CHIT REGISTER (ಮಾಸಿಕ ಚಿಟ್ ನೋಂದಣ'!$F$5:$F$502,C822,'CHIT REGISTER (ಮಾಸಿಕ ಚಿಟ್ ನೋಂದಣ'!$G$5:$G$502,"UNPAID")-IF(F822="PAID",N(D822),0)))</f>
        <v/>
      </c>
      <c r="F822" s="3"/>
      <c r="G822" s="14"/>
      <c r="H822" s="1"/>
    </row>
    <row r="823" spans="1:8">
      <c r="A823" s="2"/>
      <c r="B823" s="12"/>
      <c r="C823" s="2"/>
      <c r="D823" s="13"/>
      <c r="E823" s="8" t="str">
        <f>IF(C823="","",MAX(0,SUMIFS('CHIT REGISTER (ಮಾಸಿಕ ಚಿಟ್ ನೋಂದಣ'!$D$5:$D$502,'CHIT REGISTER (ಮಾಸಿಕ ಚಿಟ್ ನೋಂದಣ'!$F$5:$F$502,C823,'CHIT REGISTER (ಮಾಸಿಕ ಚಿಟ್ ನೋಂದಣ'!$G$5:$G$502,"UNPAID")-IF(F823="PAID",N(D823),0)))</f>
        <v/>
      </c>
      <c r="F823" s="4"/>
      <c r="G823" s="12"/>
      <c r="H823" s="2"/>
    </row>
    <row r="824" spans="1:8">
      <c r="A824" s="1"/>
      <c r="B824" s="14"/>
      <c r="C824" s="1"/>
      <c r="D824" s="15"/>
      <c r="E824" s="9" t="str">
        <f>IF(C824="","",MAX(0,SUMIFS('CHIT REGISTER (ಮಾಸಿಕ ಚಿಟ್ ನೋಂದಣ'!$D$5:$D$502,'CHIT REGISTER (ಮಾಸಿಕ ಚಿಟ್ ನೋಂದಣ'!$F$5:$F$502,C824,'CHIT REGISTER (ಮಾಸಿಕ ಚಿಟ್ ನೋಂದಣ'!$G$5:$G$502,"UNPAID")-IF(F824="PAID",N(D824),0)))</f>
        <v/>
      </c>
      <c r="F824" s="3"/>
      <c r="G824" s="14"/>
      <c r="H824" s="1"/>
    </row>
    <row r="825" spans="1:8">
      <c r="A825" s="2"/>
      <c r="B825" s="12"/>
      <c r="C825" s="2"/>
      <c r="D825" s="13"/>
      <c r="E825" s="8" t="str">
        <f>IF(C825="","",MAX(0,SUMIFS('CHIT REGISTER (ಮಾಸಿಕ ಚಿಟ್ ನೋಂದಣ'!$D$5:$D$502,'CHIT REGISTER (ಮಾಸಿಕ ಚಿಟ್ ನೋಂದಣ'!$F$5:$F$502,C825,'CHIT REGISTER (ಮಾಸಿಕ ಚಿಟ್ ನೋಂದಣ'!$G$5:$G$502,"UNPAID")-IF(F825="PAID",N(D825),0)))</f>
        <v/>
      </c>
      <c r="F825" s="4"/>
      <c r="G825" s="12"/>
      <c r="H825" s="2"/>
    </row>
    <row r="826" spans="1:8">
      <c r="A826" s="1"/>
      <c r="B826" s="14"/>
      <c r="C826" s="1"/>
      <c r="D826" s="15"/>
      <c r="E826" s="9" t="str">
        <f>IF(C826="","",MAX(0,SUMIFS('CHIT REGISTER (ಮಾಸಿಕ ಚಿಟ್ ನೋಂದಣ'!$D$5:$D$502,'CHIT REGISTER (ಮಾಸಿಕ ಚಿಟ್ ನೋಂದಣ'!$F$5:$F$502,C826,'CHIT REGISTER (ಮಾಸಿಕ ಚಿಟ್ ನೋಂದಣ'!$G$5:$G$502,"UNPAID")-IF(F826="PAID",N(D826),0)))</f>
        <v/>
      </c>
      <c r="F826" s="3"/>
      <c r="G826" s="14"/>
      <c r="H826" s="1"/>
    </row>
    <row r="827" spans="1:8">
      <c r="A827" s="2"/>
      <c r="B827" s="12"/>
      <c r="C827" s="2"/>
      <c r="D827" s="13"/>
      <c r="E827" s="8" t="str">
        <f>IF(C827="","",MAX(0,SUMIFS('CHIT REGISTER (ಮಾಸಿಕ ಚಿಟ್ ನೋಂದಣ'!$D$5:$D$502,'CHIT REGISTER (ಮಾಸಿಕ ಚಿಟ್ ನೋಂದಣ'!$F$5:$F$502,C827,'CHIT REGISTER (ಮಾಸಿಕ ಚಿಟ್ ನೋಂದಣ'!$G$5:$G$502,"UNPAID")-IF(F827="PAID",N(D827),0)))</f>
        <v/>
      </c>
      <c r="F827" s="4"/>
      <c r="G827" s="12"/>
      <c r="H827" s="2"/>
    </row>
    <row r="828" spans="1:8">
      <c r="A828" s="1"/>
      <c r="B828" s="14"/>
      <c r="C828" s="1"/>
      <c r="D828" s="15"/>
      <c r="E828" s="9" t="str">
        <f>IF(C828="","",MAX(0,SUMIFS('CHIT REGISTER (ಮಾಸಿಕ ಚಿಟ್ ನೋಂದಣ'!$D$5:$D$502,'CHIT REGISTER (ಮಾಸಿಕ ಚಿಟ್ ನೋಂದಣ'!$F$5:$F$502,C828,'CHIT REGISTER (ಮಾಸಿಕ ಚಿಟ್ ನೋಂದಣ'!$G$5:$G$502,"UNPAID")-IF(F828="PAID",N(D828),0)))</f>
        <v/>
      </c>
      <c r="F828" s="3"/>
      <c r="G828" s="14"/>
      <c r="H828" s="1"/>
    </row>
    <row r="829" spans="1:8">
      <c r="A829" s="2"/>
      <c r="B829" s="12"/>
      <c r="C829" s="2"/>
      <c r="D829" s="13"/>
      <c r="E829" s="8" t="str">
        <f>IF(C829="","",MAX(0,SUMIFS('CHIT REGISTER (ಮಾಸಿಕ ಚಿಟ್ ನೋಂದಣ'!$D$5:$D$502,'CHIT REGISTER (ಮಾಸಿಕ ಚಿಟ್ ನೋಂದಣ'!$F$5:$F$502,C829,'CHIT REGISTER (ಮಾಸಿಕ ಚಿಟ್ ನೋಂದಣ'!$G$5:$G$502,"UNPAID")-IF(F829="PAID",N(D829),0)))</f>
        <v/>
      </c>
      <c r="F829" s="4"/>
      <c r="G829" s="12"/>
      <c r="H829" s="2"/>
    </row>
    <row r="830" spans="1:8">
      <c r="A830" s="1"/>
      <c r="B830" s="14"/>
      <c r="C830" s="1"/>
      <c r="D830" s="15"/>
      <c r="E830" s="9" t="str">
        <f>IF(C830="","",MAX(0,SUMIFS('CHIT REGISTER (ಮಾಸಿಕ ಚಿಟ್ ನೋಂದಣ'!$D$5:$D$502,'CHIT REGISTER (ಮಾಸಿಕ ಚಿಟ್ ನೋಂದಣ'!$F$5:$F$502,C830,'CHIT REGISTER (ಮಾಸಿಕ ಚಿಟ್ ನೋಂದಣ'!$G$5:$G$502,"UNPAID")-IF(F830="PAID",N(D830),0)))</f>
        <v/>
      </c>
      <c r="F830" s="3"/>
      <c r="G830" s="14"/>
      <c r="H830" s="1"/>
    </row>
    <row r="831" spans="1:8">
      <c r="A831" s="2"/>
      <c r="B831" s="12"/>
      <c r="C831" s="2"/>
      <c r="D831" s="13"/>
      <c r="E831" s="8" t="str">
        <f>IF(C831="","",MAX(0,SUMIFS('CHIT REGISTER (ಮಾಸಿಕ ಚಿಟ್ ನೋಂದಣ'!$D$5:$D$502,'CHIT REGISTER (ಮಾಸಿಕ ಚಿಟ್ ನೋಂದಣ'!$F$5:$F$502,C831,'CHIT REGISTER (ಮಾಸಿಕ ಚಿಟ್ ನೋಂದಣ'!$G$5:$G$502,"UNPAID")-IF(F831="PAID",N(D831),0)))</f>
        <v/>
      </c>
      <c r="F831" s="4"/>
      <c r="G831" s="12"/>
      <c r="H831" s="2"/>
    </row>
    <row r="832" spans="1:8">
      <c r="A832" s="1"/>
      <c r="B832" s="14"/>
      <c r="C832" s="1"/>
      <c r="D832" s="15"/>
      <c r="E832" s="9" t="str">
        <f>IF(C832="","",MAX(0,SUMIFS('CHIT REGISTER (ಮಾಸಿಕ ಚಿಟ್ ನೋಂದಣ'!$D$5:$D$502,'CHIT REGISTER (ಮಾಸಿಕ ಚಿಟ್ ನೋಂದಣ'!$F$5:$F$502,C832,'CHIT REGISTER (ಮಾಸಿಕ ಚಿಟ್ ನೋಂದಣ'!$G$5:$G$502,"UNPAID")-IF(F832="PAID",N(D832),0)))</f>
        <v/>
      </c>
      <c r="F832" s="3"/>
      <c r="G832" s="14"/>
      <c r="H832" s="1"/>
    </row>
    <row r="833" spans="1:8">
      <c r="A833" s="2"/>
      <c r="B833" s="12"/>
      <c r="C833" s="2"/>
      <c r="D833" s="13"/>
      <c r="E833" s="8" t="str">
        <f>IF(C833="","",MAX(0,SUMIFS('CHIT REGISTER (ಮಾಸಿಕ ಚಿಟ್ ನೋಂದಣ'!$D$5:$D$502,'CHIT REGISTER (ಮಾಸಿಕ ಚಿಟ್ ನೋಂದಣ'!$F$5:$F$502,C833,'CHIT REGISTER (ಮಾಸಿಕ ಚಿಟ್ ನೋಂದಣ'!$G$5:$G$502,"UNPAID")-IF(F833="PAID",N(D833),0)))</f>
        <v/>
      </c>
      <c r="F833" s="4"/>
      <c r="G833" s="12"/>
      <c r="H833" s="2"/>
    </row>
    <row r="834" spans="1:8">
      <c r="A834" s="1"/>
      <c r="B834" s="14"/>
      <c r="C834" s="1"/>
      <c r="D834" s="15"/>
      <c r="E834" s="9" t="str">
        <f>IF(C834="","",MAX(0,SUMIFS('CHIT REGISTER (ಮಾಸಿಕ ಚಿಟ್ ನೋಂದಣ'!$D$5:$D$502,'CHIT REGISTER (ಮಾಸಿಕ ಚಿಟ್ ನೋಂದಣ'!$F$5:$F$502,C834,'CHIT REGISTER (ಮಾಸಿಕ ಚಿಟ್ ನೋಂದಣ'!$G$5:$G$502,"UNPAID")-IF(F834="PAID",N(D834),0)))</f>
        <v/>
      </c>
      <c r="F834" s="3"/>
      <c r="G834" s="14"/>
      <c r="H834" s="1"/>
    </row>
    <row r="835" spans="1:8">
      <c r="A835" s="2"/>
      <c r="B835" s="12"/>
      <c r="C835" s="2"/>
      <c r="D835" s="13"/>
      <c r="E835" s="8" t="str">
        <f>IF(C835="","",MAX(0,SUMIFS('CHIT REGISTER (ಮಾಸಿಕ ಚಿಟ್ ನೋಂದಣ'!$D$5:$D$502,'CHIT REGISTER (ಮಾಸಿಕ ಚಿಟ್ ನೋಂದಣ'!$F$5:$F$502,C835,'CHIT REGISTER (ಮಾಸಿಕ ಚಿಟ್ ನೋಂದಣ'!$G$5:$G$502,"UNPAID")-IF(F835="PAID",N(D835),0)))</f>
        <v/>
      </c>
      <c r="F835" s="4"/>
      <c r="G835" s="12"/>
      <c r="H835" s="2"/>
    </row>
    <row r="836" spans="1:8">
      <c r="A836" s="1"/>
      <c r="B836" s="14"/>
      <c r="C836" s="1"/>
      <c r="D836" s="15"/>
      <c r="E836" s="9" t="str">
        <f>IF(C836="","",MAX(0,SUMIFS('CHIT REGISTER (ಮಾಸಿಕ ಚಿಟ್ ನೋಂದಣ'!$D$5:$D$502,'CHIT REGISTER (ಮಾಸಿಕ ಚಿಟ್ ನೋಂದಣ'!$F$5:$F$502,C836,'CHIT REGISTER (ಮಾಸಿಕ ಚಿಟ್ ನೋಂದಣ'!$G$5:$G$502,"UNPAID")-IF(F836="PAID",N(D836),0)))</f>
        <v/>
      </c>
      <c r="F836" s="3"/>
      <c r="G836" s="14"/>
      <c r="H836" s="1"/>
    </row>
    <row r="837" spans="1:8">
      <c r="A837" s="2"/>
      <c r="B837" s="12"/>
      <c r="C837" s="2"/>
      <c r="D837" s="13"/>
      <c r="E837" s="8" t="str">
        <f>IF(C837="","",MAX(0,SUMIFS('CHIT REGISTER (ಮಾಸಿಕ ಚಿಟ್ ನೋಂದಣ'!$D$5:$D$502,'CHIT REGISTER (ಮಾಸಿಕ ಚಿಟ್ ನೋಂದಣ'!$F$5:$F$502,C837,'CHIT REGISTER (ಮಾಸಿಕ ಚಿಟ್ ನೋಂದಣ'!$G$5:$G$502,"UNPAID")-IF(F837="PAID",N(D837),0)))</f>
        <v/>
      </c>
      <c r="F837" s="4"/>
      <c r="G837" s="12"/>
      <c r="H837" s="2"/>
    </row>
    <row r="838" spans="1:8">
      <c r="A838" s="1"/>
      <c r="B838" s="14"/>
      <c r="C838" s="1"/>
      <c r="D838" s="15"/>
      <c r="E838" s="9" t="str">
        <f>IF(C838="","",MAX(0,SUMIFS('CHIT REGISTER (ಮಾಸಿಕ ಚಿಟ್ ನೋಂದಣ'!$D$5:$D$502,'CHIT REGISTER (ಮಾಸಿಕ ಚಿಟ್ ನೋಂದಣ'!$F$5:$F$502,C838,'CHIT REGISTER (ಮಾಸಿಕ ಚಿಟ್ ನೋಂದಣ'!$G$5:$G$502,"UNPAID")-IF(F838="PAID",N(D838),0)))</f>
        <v/>
      </c>
      <c r="F838" s="3"/>
      <c r="G838" s="14"/>
      <c r="H838" s="1"/>
    </row>
    <row r="839" spans="1:8">
      <c r="A839" s="2"/>
      <c r="B839" s="12"/>
      <c r="C839" s="2"/>
      <c r="D839" s="13"/>
      <c r="E839" s="8" t="str">
        <f>IF(C839="","",MAX(0,SUMIFS('CHIT REGISTER (ಮಾಸಿಕ ಚಿಟ್ ನೋಂದಣ'!$D$5:$D$502,'CHIT REGISTER (ಮಾಸಿಕ ಚಿಟ್ ನೋಂದಣ'!$F$5:$F$502,C839,'CHIT REGISTER (ಮಾಸಿಕ ಚಿಟ್ ನೋಂದಣ'!$G$5:$G$502,"UNPAID")-IF(F839="PAID",N(D839),0)))</f>
        <v/>
      </c>
      <c r="F839" s="4"/>
      <c r="G839" s="12"/>
      <c r="H839" s="2"/>
    </row>
    <row r="840" spans="1:8">
      <c r="A840" s="1"/>
      <c r="B840" s="14"/>
      <c r="C840" s="1"/>
      <c r="D840" s="15"/>
      <c r="E840" s="9" t="str">
        <f>IF(C840="","",MAX(0,SUMIFS('CHIT REGISTER (ಮಾಸಿಕ ಚಿಟ್ ನೋಂದಣ'!$D$5:$D$502,'CHIT REGISTER (ಮಾಸಿಕ ಚಿಟ್ ನೋಂದಣ'!$F$5:$F$502,C840,'CHIT REGISTER (ಮಾಸಿಕ ಚಿಟ್ ನೋಂದಣ'!$G$5:$G$502,"UNPAID")-IF(F840="PAID",N(D840),0)))</f>
        <v/>
      </c>
      <c r="F840" s="3"/>
      <c r="G840" s="14"/>
      <c r="H840" s="1"/>
    </row>
    <row r="841" spans="1:8">
      <c r="A841" s="2"/>
      <c r="B841" s="12"/>
      <c r="C841" s="2"/>
      <c r="D841" s="13"/>
      <c r="E841" s="8" t="str">
        <f>IF(C841="","",MAX(0,SUMIFS('CHIT REGISTER (ಮಾಸಿಕ ಚಿಟ್ ನೋಂದಣ'!$D$5:$D$502,'CHIT REGISTER (ಮಾಸಿಕ ಚಿಟ್ ನೋಂದಣ'!$F$5:$F$502,C841,'CHIT REGISTER (ಮಾಸಿಕ ಚಿಟ್ ನೋಂದಣ'!$G$5:$G$502,"UNPAID")-IF(F841="PAID",N(D841),0)))</f>
        <v/>
      </c>
      <c r="F841" s="4"/>
      <c r="G841" s="12"/>
      <c r="H841" s="2"/>
    </row>
    <row r="842" spans="1:8">
      <c r="A842" s="1"/>
      <c r="B842" s="14"/>
      <c r="C842" s="1"/>
      <c r="D842" s="15"/>
      <c r="E842" s="9" t="str">
        <f>IF(C842="","",MAX(0,SUMIFS('CHIT REGISTER (ಮಾಸಿಕ ಚಿಟ್ ನೋಂದಣ'!$D$5:$D$502,'CHIT REGISTER (ಮಾಸಿಕ ಚಿಟ್ ನೋಂದಣ'!$F$5:$F$502,C842,'CHIT REGISTER (ಮಾಸಿಕ ಚಿಟ್ ನೋಂದಣ'!$G$5:$G$502,"UNPAID")-IF(F842="PAID",N(D842),0)))</f>
        <v/>
      </c>
      <c r="F842" s="3"/>
      <c r="G842" s="14"/>
      <c r="H842" s="1"/>
    </row>
    <row r="843" spans="1:8">
      <c r="A843" s="2"/>
      <c r="B843" s="12"/>
      <c r="C843" s="2"/>
      <c r="D843" s="13"/>
      <c r="E843" s="8" t="str">
        <f>IF(C843="","",MAX(0,SUMIFS('CHIT REGISTER (ಮಾಸಿಕ ಚಿಟ್ ನೋಂದಣ'!$D$5:$D$502,'CHIT REGISTER (ಮಾಸಿಕ ಚಿಟ್ ನೋಂದಣ'!$F$5:$F$502,C843,'CHIT REGISTER (ಮಾಸಿಕ ಚಿಟ್ ನೋಂದಣ'!$G$5:$G$502,"UNPAID")-IF(F843="PAID",N(D843),0)))</f>
        <v/>
      </c>
      <c r="F843" s="4"/>
      <c r="G843" s="12"/>
      <c r="H843" s="2"/>
    </row>
    <row r="844" spans="1:8">
      <c r="A844" s="1"/>
      <c r="B844" s="14"/>
      <c r="C844" s="1"/>
      <c r="D844" s="15"/>
      <c r="E844" s="9" t="str">
        <f>IF(C844="","",MAX(0,SUMIFS('CHIT REGISTER (ಮಾಸಿಕ ಚಿಟ್ ನೋಂದಣ'!$D$5:$D$502,'CHIT REGISTER (ಮಾಸಿಕ ಚಿಟ್ ನೋಂದಣ'!$F$5:$F$502,C844,'CHIT REGISTER (ಮಾಸಿಕ ಚಿಟ್ ನೋಂದಣ'!$G$5:$G$502,"UNPAID")-IF(F844="PAID",N(D844),0)))</f>
        <v/>
      </c>
      <c r="F844" s="3"/>
      <c r="G844" s="14"/>
      <c r="H844" s="1"/>
    </row>
    <row r="845" spans="1:8">
      <c r="A845" s="2"/>
      <c r="B845" s="12"/>
      <c r="C845" s="2"/>
      <c r="D845" s="13"/>
      <c r="E845" s="8" t="str">
        <f>IF(C845="","",MAX(0,SUMIFS('CHIT REGISTER (ಮಾಸಿಕ ಚಿಟ್ ನೋಂದಣ'!$D$5:$D$502,'CHIT REGISTER (ಮಾಸಿಕ ಚಿಟ್ ನೋಂದಣ'!$F$5:$F$502,C845,'CHIT REGISTER (ಮಾಸಿಕ ಚಿಟ್ ನೋಂದಣ'!$G$5:$G$502,"UNPAID")-IF(F845="PAID",N(D845),0)))</f>
        <v/>
      </c>
      <c r="F845" s="4"/>
      <c r="G845" s="12"/>
      <c r="H845" s="2"/>
    </row>
    <row r="846" spans="1:8">
      <c r="A846" s="1"/>
      <c r="B846" s="14"/>
      <c r="C846" s="1"/>
      <c r="D846" s="15"/>
      <c r="E846" s="9" t="str">
        <f>IF(C846="","",MAX(0,SUMIFS('CHIT REGISTER (ಮಾಸಿಕ ಚಿಟ್ ನೋಂದಣ'!$D$5:$D$502,'CHIT REGISTER (ಮಾಸಿಕ ಚಿಟ್ ನೋಂದಣ'!$F$5:$F$502,C846,'CHIT REGISTER (ಮಾಸಿಕ ಚಿಟ್ ನೋಂದಣ'!$G$5:$G$502,"UNPAID")-IF(F846="PAID",N(D846),0)))</f>
        <v/>
      </c>
      <c r="F846" s="3"/>
      <c r="G846" s="14"/>
      <c r="H846" s="1"/>
    </row>
    <row r="847" spans="1:8">
      <c r="A847" s="2"/>
      <c r="B847" s="12"/>
      <c r="C847" s="2"/>
      <c r="D847" s="13"/>
      <c r="E847" s="8" t="str">
        <f>IF(C847="","",MAX(0,SUMIFS('CHIT REGISTER (ಮಾಸಿಕ ಚಿಟ್ ನೋಂದಣ'!$D$5:$D$502,'CHIT REGISTER (ಮಾಸಿಕ ಚಿಟ್ ನೋಂದಣ'!$F$5:$F$502,C847,'CHIT REGISTER (ಮಾಸಿಕ ಚಿಟ್ ನೋಂದಣ'!$G$5:$G$502,"UNPAID")-IF(F847="PAID",N(D847),0)))</f>
        <v/>
      </c>
      <c r="F847" s="4"/>
      <c r="G847" s="12"/>
      <c r="H847" s="2"/>
    </row>
    <row r="848" spans="1:8">
      <c r="A848" s="1"/>
      <c r="B848" s="14"/>
      <c r="C848" s="1"/>
      <c r="D848" s="15"/>
      <c r="E848" s="9" t="str">
        <f>IF(C848="","",MAX(0,SUMIFS('CHIT REGISTER (ಮಾಸಿಕ ಚಿಟ್ ನೋಂದಣ'!$D$5:$D$502,'CHIT REGISTER (ಮಾಸಿಕ ಚಿಟ್ ನೋಂದಣ'!$F$5:$F$502,C848,'CHIT REGISTER (ಮಾಸಿಕ ಚಿಟ್ ನೋಂದಣ'!$G$5:$G$502,"UNPAID")-IF(F848="PAID",N(D848),0)))</f>
        <v/>
      </c>
      <c r="F848" s="3"/>
      <c r="G848" s="14"/>
      <c r="H848" s="1"/>
    </row>
    <row r="849" spans="1:8">
      <c r="A849" s="2"/>
      <c r="B849" s="12"/>
      <c r="C849" s="2"/>
      <c r="D849" s="13"/>
      <c r="E849" s="8" t="str">
        <f>IF(C849="","",MAX(0,SUMIFS('CHIT REGISTER (ಮಾಸಿಕ ಚಿಟ್ ನೋಂದಣ'!$D$5:$D$502,'CHIT REGISTER (ಮಾಸಿಕ ಚಿಟ್ ನೋಂದಣ'!$F$5:$F$502,C849,'CHIT REGISTER (ಮಾಸಿಕ ಚಿಟ್ ನೋಂದಣ'!$G$5:$G$502,"UNPAID")-IF(F849="PAID",N(D849),0)))</f>
        <v/>
      </c>
      <c r="F849" s="4"/>
      <c r="G849" s="12"/>
      <c r="H849" s="2"/>
    </row>
    <row r="850" spans="1:8">
      <c r="A850" s="1"/>
      <c r="B850" s="14"/>
      <c r="C850" s="1"/>
      <c r="D850" s="15"/>
      <c r="E850" s="9" t="str">
        <f>IF(C850="","",MAX(0,SUMIFS('CHIT REGISTER (ಮಾಸಿಕ ಚಿಟ್ ನೋಂದಣ'!$D$5:$D$502,'CHIT REGISTER (ಮಾಸಿಕ ಚಿಟ್ ನೋಂದಣ'!$F$5:$F$502,C850,'CHIT REGISTER (ಮಾಸಿಕ ಚಿಟ್ ನೋಂದಣ'!$G$5:$G$502,"UNPAID")-IF(F850="PAID",N(D850),0)))</f>
        <v/>
      </c>
      <c r="F850" s="3"/>
      <c r="G850" s="14"/>
      <c r="H850" s="1"/>
    </row>
    <row r="851" spans="1:8">
      <c r="A851" s="2"/>
      <c r="B851" s="12"/>
      <c r="C851" s="2"/>
      <c r="D851" s="13"/>
      <c r="E851" s="8" t="str">
        <f>IF(C851="","",MAX(0,SUMIFS('CHIT REGISTER (ಮಾಸಿಕ ಚಿಟ್ ನೋಂದಣ'!$D$5:$D$502,'CHIT REGISTER (ಮಾಸಿಕ ಚಿಟ್ ನೋಂದಣ'!$F$5:$F$502,C851,'CHIT REGISTER (ಮಾಸಿಕ ಚಿಟ್ ನೋಂದಣ'!$G$5:$G$502,"UNPAID")-IF(F851="PAID",N(D851),0)))</f>
        <v/>
      </c>
      <c r="F851" s="4"/>
      <c r="G851" s="12"/>
      <c r="H851" s="2"/>
    </row>
    <row r="852" spans="1:8">
      <c r="A852" s="1"/>
      <c r="B852" s="14"/>
      <c r="C852" s="1"/>
      <c r="D852" s="15"/>
      <c r="E852" s="9" t="str">
        <f>IF(C852="","",MAX(0,SUMIFS('CHIT REGISTER (ಮಾಸಿಕ ಚಿಟ್ ನೋಂದಣ'!$D$5:$D$502,'CHIT REGISTER (ಮಾಸಿಕ ಚಿಟ್ ನೋಂದಣ'!$F$5:$F$502,C852,'CHIT REGISTER (ಮಾಸಿಕ ಚಿಟ್ ನೋಂದಣ'!$G$5:$G$502,"UNPAID")-IF(F852="PAID",N(D852),0)))</f>
        <v/>
      </c>
      <c r="F852" s="3"/>
      <c r="G852" s="14"/>
      <c r="H852" s="1"/>
    </row>
    <row r="853" spans="1:8">
      <c r="A853" s="2"/>
      <c r="B853" s="12"/>
      <c r="C853" s="2"/>
      <c r="D853" s="13"/>
      <c r="E853" s="8" t="str">
        <f>IF(C853="","",MAX(0,SUMIFS('CHIT REGISTER (ಮಾಸಿಕ ಚಿಟ್ ನೋಂದಣ'!$D$5:$D$502,'CHIT REGISTER (ಮಾಸಿಕ ಚಿಟ್ ನೋಂದಣ'!$F$5:$F$502,C853,'CHIT REGISTER (ಮಾಸಿಕ ಚಿಟ್ ನೋಂದಣ'!$G$5:$G$502,"UNPAID")-IF(F853="PAID",N(D853),0)))</f>
        <v/>
      </c>
      <c r="F853" s="4"/>
      <c r="G853" s="12"/>
      <c r="H853" s="2"/>
    </row>
    <row r="854" spans="1:8">
      <c r="A854" s="1"/>
      <c r="B854" s="14"/>
      <c r="C854" s="1"/>
      <c r="D854" s="15"/>
      <c r="E854" s="9" t="str">
        <f>IF(C854="","",MAX(0,SUMIFS('CHIT REGISTER (ಮಾಸಿಕ ಚಿಟ್ ನೋಂದಣ'!$D$5:$D$502,'CHIT REGISTER (ಮಾಸಿಕ ಚಿಟ್ ನೋಂದಣ'!$F$5:$F$502,C854,'CHIT REGISTER (ಮಾಸಿಕ ಚಿಟ್ ನೋಂದಣ'!$G$5:$G$502,"UNPAID")-IF(F854="PAID",N(D854),0)))</f>
        <v/>
      </c>
      <c r="F854" s="3"/>
      <c r="G854" s="14"/>
      <c r="H854" s="1"/>
    </row>
    <row r="855" spans="1:8">
      <c r="A855" s="2"/>
      <c r="B855" s="12"/>
      <c r="C855" s="2"/>
      <c r="D855" s="13"/>
      <c r="E855" s="8" t="str">
        <f>IF(C855="","",MAX(0,SUMIFS('CHIT REGISTER (ಮಾಸಿಕ ಚಿಟ್ ನೋಂದಣ'!$D$5:$D$502,'CHIT REGISTER (ಮಾಸಿಕ ಚಿಟ್ ನೋಂದಣ'!$F$5:$F$502,C855,'CHIT REGISTER (ಮಾಸಿಕ ಚಿಟ್ ನೋಂದಣ'!$G$5:$G$502,"UNPAID")-IF(F855="PAID",N(D855),0)))</f>
        <v/>
      </c>
      <c r="F855" s="4"/>
      <c r="G855" s="12"/>
      <c r="H855" s="2"/>
    </row>
    <row r="856" spans="1:8">
      <c r="A856" s="1"/>
      <c r="B856" s="14"/>
      <c r="C856" s="1"/>
      <c r="D856" s="15"/>
      <c r="E856" s="9" t="str">
        <f>IF(C856="","",MAX(0,SUMIFS('CHIT REGISTER (ಮಾಸಿಕ ಚಿಟ್ ನೋಂದಣ'!$D$5:$D$502,'CHIT REGISTER (ಮಾಸಿಕ ಚಿಟ್ ನೋಂದಣ'!$F$5:$F$502,C856,'CHIT REGISTER (ಮಾಸಿಕ ಚಿಟ್ ನೋಂದಣ'!$G$5:$G$502,"UNPAID")-IF(F856="PAID",N(D856),0)))</f>
        <v/>
      </c>
      <c r="F856" s="3"/>
      <c r="G856" s="14"/>
      <c r="H856" s="1"/>
    </row>
    <row r="857" spans="1:8">
      <c r="A857" s="2"/>
      <c r="B857" s="12"/>
      <c r="C857" s="2"/>
      <c r="D857" s="13"/>
      <c r="E857" s="8" t="str">
        <f>IF(C857="","",MAX(0,SUMIFS('CHIT REGISTER (ಮಾಸಿಕ ಚಿಟ್ ನೋಂದಣ'!$D$5:$D$502,'CHIT REGISTER (ಮಾಸಿಕ ಚಿಟ್ ನೋಂದಣ'!$F$5:$F$502,C857,'CHIT REGISTER (ಮಾಸಿಕ ಚಿಟ್ ನೋಂದಣ'!$G$5:$G$502,"UNPAID")-IF(F857="PAID",N(D857),0)))</f>
        <v/>
      </c>
      <c r="F857" s="4"/>
      <c r="G857" s="12"/>
      <c r="H857" s="2"/>
    </row>
    <row r="858" spans="1:8">
      <c r="A858" s="1"/>
      <c r="B858" s="14"/>
      <c r="C858" s="1"/>
      <c r="D858" s="15"/>
      <c r="E858" s="9" t="str">
        <f>IF(C858="","",MAX(0,SUMIFS('CHIT REGISTER (ಮಾಸಿಕ ಚಿಟ್ ನೋಂದಣ'!$D$5:$D$502,'CHIT REGISTER (ಮಾಸಿಕ ಚಿಟ್ ನೋಂದಣ'!$F$5:$F$502,C858,'CHIT REGISTER (ಮಾಸಿಕ ಚಿಟ್ ನೋಂದಣ'!$G$5:$G$502,"UNPAID")-IF(F858="PAID",N(D858),0)))</f>
        <v/>
      </c>
      <c r="F858" s="3"/>
      <c r="G858" s="14"/>
      <c r="H858" s="1"/>
    </row>
    <row r="859" spans="1:8">
      <c r="A859" s="2"/>
      <c r="B859" s="12"/>
      <c r="C859" s="2"/>
      <c r="D859" s="13"/>
      <c r="E859" s="8" t="str">
        <f>IF(C859="","",MAX(0,SUMIFS('CHIT REGISTER (ಮಾಸಿಕ ಚಿಟ್ ನೋಂದಣ'!$D$5:$D$502,'CHIT REGISTER (ಮಾಸಿಕ ಚಿಟ್ ನೋಂದಣ'!$F$5:$F$502,C859,'CHIT REGISTER (ಮಾಸಿಕ ಚಿಟ್ ನೋಂದಣ'!$G$5:$G$502,"UNPAID")-IF(F859="PAID",N(D859),0)))</f>
        <v/>
      </c>
      <c r="F859" s="4"/>
      <c r="G859" s="12"/>
      <c r="H859" s="2"/>
    </row>
    <row r="860" spans="1:8">
      <c r="A860" s="1"/>
      <c r="B860" s="14"/>
      <c r="C860" s="1"/>
      <c r="D860" s="15"/>
      <c r="E860" s="9" t="str">
        <f>IF(C860="","",MAX(0,SUMIFS('CHIT REGISTER (ಮಾಸಿಕ ಚಿಟ್ ನೋಂದಣ'!$D$5:$D$502,'CHIT REGISTER (ಮಾಸಿಕ ಚಿಟ್ ನೋಂದಣ'!$F$5:$F$502,C860,'CHIT REGISTER (ಮಾಸಿಕ ಚಿಟ್ ನೋಂದಣ'!$G$5:$G$502,"UNPAID")-IF(F860="PAID",N(D860),0)))</f>
        <v/>
      </c>
      <c r="F860" s="3"/>
      <c r="G860" s="14"/>
      <c r="H860" s="1"/>
    </row>
    <row r="861" spans="1:8">
      <c r="A861" s="2"/>
      <c r="B861" s="12"/>
      <c r="C861" s="2"/>
      <c r="D861" s="13"/>
      <c r="E861" s="8" t="str">
        <f>IF(C861="","",MAX(0,SUMIFS('CHIT REGISTER (ಮಾಸಿಕ ಚಿಟ್ ನೋಂದಣ'!$D$5:$D$502,'CHIT REGISTER (ಮಾಸಿಕ ಚಿಟ್ ನೋಂದಣ'!$F$5:$F$502,C861,'CHIT REGISTER (ಮಾಸಿಕ ಚಿಟ್ ನೋಂದಣ'!$G$5:$G$502,"UNPAID")-IF(F861="PAID",N(D861),0)))</f>
        <v/>
      </c>
      <c r="F861" s="4"/>
      <c r="G861" s="12"/>
      <c r="H861" s="2"/>
    </row>
    <row r="862" spans="1:8">
      <c r="A862" s="1"/>
      <c r="B862" s="14"/>
      <c r="C862" s="1"/>
      <c r="D862" s="15"/>
      <c r="E862" s="9" t="str">
        <f>IF(C862="","",MAX(0,SUMIFS('CHIT REGISTER (ಮಾಸಿಕ ಚಿಟ್ ನೋಂದಣ'!$D$5:$D$502,'CHIT REGISTER (ಮಾಸಿಕ ಚಿಟ್ ನೋಂದಣ'!$F$5:$F$502,C862,'CHIT REGISTER (ಮಾಸಿಕ ಚಿಟ್ ನೋಂದಣ'!$G$5:$G$502,"UNPAID")-IF(F862="PAID",N(D862),0)))</f>
        <v/>
      </c>
      <c r="F862" s="3"/>
      <c r="G862" s="14"/>
      <c r="H862" s="1"/>
    </row>
    <row r="863" spans="1:8">
      <c r="A863" s="2"/>
      <c r="B863" s="12"/>
      <c r="C863" s="2"/>
      <c r="D863" s="13"/>
      <c r="E863" s="8" t="str">
        <f>IF(C863="","",MAX(0,SUMIFS('CHIT REGISTER (ಮಾಸಿಕ ಚಿಟ್ ನೋಂದಣ'!$D$5:$D$502,'CHIT REGISTER (ಮಾಸಿಕ ಚಿಟ್ ನೋಂದಣ'!$F$5:$F$502,C863,'CHIT REGISTER (ಮಾಸಿಕ ಚಿಟ್ ನೋಂದಣ'!$G$5:$G$502,"UNPAID")-IF(F863="PAID",N(D863),0)))</f>
        <v/>
      </c>
      <c r="F863" s="4"/>
      <c r="G863" s="12"/>
      <c r="H863" s="2"/>
    </row>
    <row r="864" spans="1:8">
      <c r="A864" s="1"/>
      <c r="B864" s="14"/>
      <c r="C864" s="1"/>
      <c r="D864" s="15"/>
      <c r="E864" s="9" t="str">
        <f>IF(C864="","",MAX(0,SUMIFS('CHIT REGISTER (ಮಾಸಿಕ ಚಿಟ್ ನೋಂದಣ'!$D$5:$D$502,'CHIT REGISTER (ಮಾಸಿಕ ಚಿಟ್ ನೋಂದಣ'!$F$5:$F$502,C864,'CHIT REGISTER (ಮಾಸಿಕ ಚಿಟ್ ನೋಂದಣ'!$G$5:$G$502,"UNPAID")-IF(F864="PAID",N(D864),0)))</f>
        <v/>
      </c>
      <c r="F864" s="3"/>
      <c r="G864" s="14"/>
      <c r="H864" s="1"/>
    </row>
    <row r="865" spans="1:8">
      <c r="A865" s="2"/>
      <c r="B865" s="12"/>
      <c r="C865" s="2"/>
      <c r="D865" s="13"/>
      <c r="E865" s="8" t="str">
        <f>IF(C865="","",MAX(0,SUMIFS('CHIT REGISTER (ಮಾಸಿಕ ಚಿಟ್ ನೋಂದಣ'!$D$5:$D$502,'CHIT REGISTER (ಮಾಸಿಕ ಚಿಟ್ ನೋಂದಣ'!$F$5:$F$502,C865,'CHIT REGISTER (ಮಾಸಿಕ ಚಿಟ್ ನೋಂದಣ'!$G$5:$G$502,"UNPAID")-IF(F865="PAID",N(D865),0)))</f>
        <v/>
      </c>
      <c r="F865" s="4"/>
      <c r="G865" s="12"/>
      <c r="H865" s="2"/>
    </row>
    <row r="866" spans="1:8">
      <c r="A866" s="1"/>
      <c r="B866" s="14"/>
      <c r="C866" s="1"/>
      <c r="D866" s="15"/>
      <c r="E866" s="9" t="str">
        <f>IF(C866="","",MAX(0,SUMIFS('CHIT REGISTER (ಮಾಸಿಕ ಚಿಟ್ ನೋಂದಣ'!$D$5:$D$502,'CHIT REGISTER (ಮಾಸಿಕ ಚಿಟ್ ನೋಂದಣ'!$F$5:$F$502,C866,'CHIT REGISTER (ಮಾಸಿಕ ಚಿಟ್ ನೋಂದಣ'!$G$5:$G$502,"UNPAID")-IF(F866="PAID",N(D866),0)))</f>
        <v/>
      </c>
      <c r="F866" s="3"/>
      <c r="G866" s="14"/>
      <c r="H866" s="1"/>
    </row>
    <row r="867" spans="1:8">
      <c r="A867" s="2"/>
      <c r="B867" s="12"/>
      <c r="C867" s="2"/>
      <c r="D867" s="13"/>
      <c r="E867" s="8" t="str">
        <f>IF(C867="","",MAX(0,SUMIFS('CHIT REGISTER (ಮಾಸಿಕ ಚಿಟ್ ನೋಂದಣ'!$D$5:$D$502,'CHIT REGISTER (ಮಾಸಿಕ ಚಿಟ್ ನೋಂದಣ'!$F$5:$F$502,C867,'CHIT REGISTER (ಮಾಸಿಕ ಚಿಟ್ ನೋಂದಣ'!$G$5:$G$502,"UNPAID")-IF(F867="PAID",N(D867),0)))</f>
        <v/>
      </c>
      <c r="F867" s="4"/>
      <c r="G867" s="12"/>
      <c r="H867" s="2"/>
    </row>
    <row r="868" spans="1:8">
      <c r="A868" s="1"/>
      <c r="B868" s="14"/>
      <c r="C868" s="1"/>
      <c r="D868" s="15"/>
      <c r="E868" s="9" t="str">
        <f>IF(C868="","",MAX(0,SUMIFS('CHIT REGISTER (ಮಾಸಿಕ ಚಿಟ್ ನೋಂದಣ'!$D$5:$D$502,'CHIT REGISTER (ಮಾಸಿಕ ಚಿಟ್ ನೋಂದಣ'!$F$5:$F$502,C868,'CHIT REGISTER (ಮಾಸಿಕ ಚಿಟ್ ನೋಂದಣ'!$G$5:$G$502,"UNPAID")-IF(F868="PAID",N(D868),0)))</f>
        <v/>
      </c>
      <c r="F868" s="3"/>
      <c r="G868" s="14"/>
      <c r="H868" s="1"/>
    </row>
    <row r="869" spans="1:8">
      <c r="A869" s="2"/>
      <c r="B869" s="12"/>
      <c r="C869" s="2"/>
      <c r="D869" s="13"/>
      <c r="E869" s="8" t="str">
        <f>IF(C869="","",MAX(0,SUMIFS('CHIT REGISTER (ಮಾಸಿಕ ಚಿಟ್ ನೋಂದಣ'!$D$5:$D$502,'CHIT REGISTER (ಮಾಸಿಕ ಚಿಟ್ ನೋಂದಣ'!$F$5:$F$502,C869,'CHIT REGISTER (ಮಾಸಿಕ ಚಿಟ್ ನೋಂದಣ'!$G$5:$G$502,"UNPAID")-IF(F869="PAID",N(D869),0)))</f>
        <v/>
      </c>
      <c r="F869" s="4"/>
      <c r="G869" s="12"/>
      <c r="H869" s="2"/>
    </row>
    <row r="870" spans="1:8">
      <c r="A870" s="1"/>
      <c r="B870" s="14"/>
      <c r="C870" s="1"/>
      <c r="D870" s="15"/>
      <c r="E870" s="9" t="str">
        <f>IF(C870="","",MAX(0,SUMIFS('CHIT REGISTER (ಮಾಸಿಕ ಚಿಟ್ ನೋಂದಣ'!$D$5:$D$502,'CHIT REGISTER (ಮಾಸಿಕ ಚಿಟ್ ನೋಂದಣ'!$F$5:$F$502,C870,'CHIT REGISTER (ಮಾಸಿಕ ಚಿಟ್ ನೋಂದಣ'!$G$5:$G$502,"UNPAID")-IF(F870="PAID",N(D870),0)))</f>
        <v/>
      </c>
      <c r="F870" s="3"/>
      <c r="G870" s="14"/>
      <c r="H870" s="1"/>
    </row>
    <row r="871" spans="1:8">
      <c r="A871" s="2"/>
      <c r="B871" s="12"/>
      <c r="C871" s="2"/>
      <c r="D871" s="13"/>
      <c r="E871" s="8" t="str">
        <f>IF(C871="","",MAX(0,SUMIFS('CHIT REGISTER (ಮಾಸಿಕ ಚಿಟ್ ನೋಂದಣ'!$D$5:$D$502,'CHIT REGISTER (ಮಾಸಿಕ ಚಿಟ್ ನೋಂದಣ'!$F$5:$F$502,C871,'CHIT REGISTER (ಮಾಸಿಕ ಚಿಟ್ ನೋಂದಣ'!$G$5:$G$502,"UNPAID")-IF(F871="PAID",N(D871),0)))</f>
        <v/>
      </c>
      <c r="F871" s="4"/>
      <c r="G871" s="12"/>
      <c r="H871" s="2"/>
    </row>
    <row r="872" spans="1:8">
      <c r="A872" s="1"/>
      <c r="B872" s="14"/>
      <c r="C872" s="1"/>
      <c r="D872" s="15"/>
      <c r="E872" s="9" t="str">
        <f>IF(C872="","",MAX(0,SUMIFS('CHIT REGISTER (ಮಾಸಿಕ ಚಿಟ್ ನೋಂದಣ'!$D$5:$D$502,'CHIT REGISTER (ಮಾಸಿಕ ಚಿಟ್ ನೋಂದಣ'!$F$5:$F$502,C872,'CHIT REGISTER (ಮಾಸಿಕ ಚಿಟ್ ನೋಂದಣ'!$G$5:$G$502,"UNPAID")-IF(F872="PAID",N(D872),0)))</f>
        <v/>
      </c>
      <c r="F872" s="3"/>
      <c r="G872" s="14"/>
      <c r="H872" s="1"/>
    </row>
    <row r="873" spans="1:8">
      <c r="A873" s="2"/>
      <c r="B873" s="12"/>
      <c r="C873" s="2"/>
      <c r="D873" s="13"/>
      <c r="E873" s="8" t="str">
        <f>IF(C873="","",MAX(0,SUMIFS('CHIT REGISTER (ಮಾಸಿಕ ಚಿಟ್ ನೋಂದಣ'!$D$5:$D$502,'CHIT REGISTER (ಮಾಸಿಕ ಚಿಟ್ ನೋಂದಣ'!$F$5:$F$502,C873,'CHIT REGISTER (ಮಾಸಿಕ ಚಿಟ್ ನೋಂದಣ'!$G$5:$G$502,"UNPAID")-IF(F873="PAID",N(D873),0)))</f>
        <v/>
      </c>
      <c r="F873" s="4"/>
      <c r="G873" s="12"/>
      <c r="H873" s="2"/>
    </row>
    <row r="874" spans="1:8">
      <c r="A874" s="1"/>
      <c r="B874" s="14"/>
      <c r="C874" s="1"/>
      <c r="D874" s="15"/>
      <c r="E874" s="9" t="str">
        <f>IF(C874="","",MAX(0,SUMIFS('CHIT REGISTER (ಮಾಸಿಕ ಚಿಟ್ ನೋಂದಣ'!$D$5:$D$502,'CHIT REGISTER (ಮಾಸಿಕ ಚಿಟ್ ನೋಂದಣ'!$F$5:$F$502,C874,'CHIT REGISTER (ಮಾಸಿಕ ಚಿಟ್ ನೋಂದಣ'!$G$5:$G$502,"UNPAID")-IF(F874="PAID",N(D874),0)))</f>
        <v/>
      </c>
      <c r="F874" s="3"/>
      <c r="G874" s="14"/>
      <c r="H874" s="1"/>
    </row>
    <row r="875" spans="1:8">
      <c r="A875" s="2"/>
      <c r="B875" s="12"/>
      <c r="C875" s="2"/>
      <c r="D875" s="13"/>
      <c r="E875" s="8" t="str">
        <f>IF(C875="","",MAX(0,SUMIFS('CHIT REGISTER (ಮಾಸಿಕ ಚಿಟ್ ನೋಂದಣ'!$D$5:$D$502,'CHIT REGISTER (ಮಾಸಿಕ ಚಿಟ್ ನೋಂದಣ'!$F$5:$F$502,C875,'CHIT REGISTER (ಮಾಸಿಕ ಚಿಟ್ ನೋಂದಣ'!$G$5:$G$502,"UNPAID")-IF(F875="PAID",N(D875),0)))</f>
        <v/>
      </c>
      <c r="F875" s="4"/>
      <c r="G875" s="12"/>
      <c r="H875" s="2"/>
    </row>
    <row r="876" spans="1:8">
      <c r="A876" s="1"/>
      <c r="B876" s="14"/>
      <c r="C876" s="1"/>
      <c r="D876" s="15"/>
      <c r="E876" s="9" t="str">
        <f>IF(C876="","",MAX(0,SUMIFS('CHIT REGISTER (ಮಾಸಿಕ ಚಿಟ್ ನೋಂದಣ'!$D$5:$D$502,'CHIT REGISTER (ಮಾಸಿಕ ಚಿಟ್ ನೋಂದಣ'!$F$5:$F$502,C876,'CHIT REGISTER (ಮಾಸಿಕ ಚಿಟ್ ನೋಂದಣ'!$G$5:$G$502,"UNPAID")-IF(F876="PAID",N(D876),0)))</f>
        <v/>
      </c>
      <c r="F876" s="3"/>
      <c r="G876" s="14"/>
      <c r="H876" s="1"/>
    </row>
    <row r="877" spans="1:8">
      <c r="A877" s="2"/>
      <c r="B877" s="12"/>
      <c r="C877" s="2"/>
      <c r="D877" s="13"/>
      <c r="E877" s="8" t="str">
        <f>IF(C877="","",MAX(0,SUMIFS('CHIT REGISTER (ಮಾಸಿಕ ಚಿಟ್ ನೋಂದಣ'!$D$5:$D$502,'CHIT REGISTER (ಮಾಸಿಕ ಚಿಟ್ ನೋಂದಣ'!$F$5:$F$502,C877,'CHIT REGISTER (ಮಾಸಿಕ ಚಿಟ್ ನೋಂದಣ'!$G$5:$G$502,"UNPAID")-IF(F877="PAID",N(D877),0)))</f>
        <v/>
      </c>
      <c r="F877" s="4"/>
      <c r="G877" s="12"/>
      <c r="H877" s="2"/>
    </row>
    <row r="878" spans="1:8">
      <c r="A878" s="1"/>
      <c r="B878" s="14"/>
      <c r="C878" s="1"/>
      <c r="D878" s="15"/>
      <c r="E878" s="9" t="str">
        <f>IF(C878="","",MAX(0,SUMIFS('CHIT REGISTER (ಮಾಸಿಕ ಚಿಟ್ ನೋಂದಣ'!$D$5:$D$502,'CHIT REGISTER (ಮಾಸಿಕ ಚಿಟ್ ನೋಂದಣ'!$F$5:$F$502,C878,'CHIT REGISTER (ಮಾಸಿಕ ಚಿಟ್ ನೋಂದಣ'!$G$5:$G$502,"UNPAID")-IF(F878="PAID",N(D878),0)))</f>
        <v/>
      </c>
      <c r="F878" s="3"/>
      <c r="G878" s="14"/>
      <c r="H878" s="1"/>
    </row>
    <row r="879" spans="1:8">
      <c r="A879" s="2"/>
      <c r="B879" s="12"/>
      <c r="C879" s="2"/>
      <c r="D879" s="13"/>
      <c r="E879" s="8" t="str">
        <f>IF(C879="","",MAX(0,SUMIFS('CHIT REGISTER (ಮಾಸಿಕ ಚಿಟ್ ನೋಂದಣ'!$D$5:$D$502,'CHIT REGISTER (ಮಾಸಿಕ ಚಿಟ್ ನೋಂದಣ'!$F$5:$F$502,C879,'CHIT REGISTER (ಮಾಸಿಕ ಚಿಟ್ ನೋಂದಣ'!$G$5:$G$502,"UNPAID")-IF(F879="PAID",N(D879),0)))</f>
        <v/>
      </c>
      <c r="F879" s="4"/>
      <c r="G879" s="12"/>
      <c r="H879" s="2"/>
    </row>
    <row r="880" spans="1:8">
      <c r="A880" s="1"/>
      <c r="B880" s="14"/>
      <c r="C880" s="1"/>
      <c r="D880" s="15"/>
      <c r="E880" s="9" t="str">
        <f>IF(C880="","",MAX(0,SUMIFS('CHIT REGISTER (ಮಾಸಿಕ ಚಿಟ್ ನೋಂದಣ'!$D$5:$D$502,'CHIT REGISTER (ಮಾಸಿಕ ಚಿಟ್ ನೋಂದಣ'!$F$5:$F$502,C880,'CHIT REGISTER (ಮಾಸಿಕ ಚಿಟ್ ನೋಂದಣ'!$G$5:$G$502,"UNPAID")-IF(F880="PAID",N(D880),0)))</f>
        <v/>
      </c>
      <c r="F880" s="3"/>
      <c r="G880" s="14"/>
      <c r="H880" s="1"/>
    </row>
    <row r="881" spans="1:8">
      <c r="A881" s="2"/>
      <c r="B881" s="12"/>
      <c r="C881" s="2"/>
      <c r="D881" s="13"/>
      <c r="E881" s="8" t="str">
        <f>IF(C881="","",MAX(0,SUMIFS('CHIT REGISTER (ಮಾಸಿಕ ಚಿಟ್ ನೋಂದಣ'!$D$5:$D$502,'CHIT REGISTER (ಮಾಸಿಕ ಚಿಟ್ ನೋಂದಣ'!$F$5:$F$502,C881,'CHIT REGISTER (ಮಾಸಿಕ ಚಿಟ್ ನೋಂದಣ'!$G$5:$G$502,"UNPAID")-IF(F881="PAID",N(D881),0)))</f>
        <v/>
      </c>
      <c r="F881" s="4"/>
      <c r="G881" s="12"/>
      <c r="H881" s="2"/>
    </row>
    <row r="882" spans="1:8">
      <c r="A882" s="1"/>
      <c r="B882" s="14"/>
      <c r="C882" s="1"/>
      <c r="D882" s="15"/>
      <c r="E882" s="9" t="str">
        <f>IF(C882="","",MAX(0,SUMIFS('CHIT REGISTER (ಮಾಸಿಕ ಚಿಟ್ ನೋಂದಣ'!$D$5:$D$502,'CHIT REGISTER (ಮಾಸಿಕ ಚಿಟ್ ನೋಂದಣ'!$F$5:$F$502,C882,'CHIT REGISTER (ಮಾಸಿಕ ಚಿಟ್ ನೋಂದಣ'!$G$5:$G$502,"UNPAID")-IF(F882="PAID",N(D882),0)))</f>
        <v/>
      </c>
      <c r="F882" s="3"/>
      <c r="G882" s="14"/>
      <c r="H882" s="1"/>
    </row>
    <row r="883" spans="1:8">
      <c r="A883" s="2"/>
      <c r="B883" s="12"/>
      <c r="C883" s="2"/>
      <c r="D883" s="13"/>
      <c r="E883" s="8" t="str">
        <f>IF(C883="","",MAX(0,SUMIFS('CHIT REGISTER (ಮಾಸಿಕ ಚಿಟ್ ನೋಂದಣ'!$D$5:$D$502,'CHIT REGISTER (ಮಾಸಿಕ ಚಿಟ್ ನೋಂದಣ'!$F$5:$F$502,C883,'CHIT REGISTER (ಮಾಸಿಕ ಚಿಟ್ ನೋಂದಣ'!$G$5:$G$502,"UNPAID")-IF(F883="PAID",N(D883),0)))</f>
        <v/>
      </c>
      <c r="F883" s="4"/>
      <c r="G883" s="12"/>
      <c r="H883" s="2"/>
    </row>
    <row r="884" spans="1:8">
      <c r="A884" s="1"/>
      <c r="B884" s="14"/>
      <c r="C884" s="1"/>
      <c r="D884" s="15"/>
      <c r="E884" s="9" t="str">
        <f>IF(C884="","",MAX(0,SUMIFS('CHIT REGISTER (ಮಾಸಿಕ ಚಿಟ್ ನೋಂದಣ'!$D$5:$D$502,'CHIT REGISTER (ಮಾಸಿಕ ಚಿಟ್ ನೋಂದಣ'!$F$5:$F$502,C884,'CHIT REGISTER (ಮಾಸಿಕ ಚಿಟ್ ನೋಂದಣ'!$G$5:$G$502,"UNPAID")-IF(F884="PAID",N(D884),0)))</f>
        <v/>
      </c>
      <c r="F884" s="3"/>
      <c r="G884" s="14"/>
      <c r="H884" s="1"/>
    </row>
    <row r="885" spans="1:8">
      <c r="A885" s="2"/>
      <c r="B885" s="12"/>
      <c r="C885" s="2"/>
      <c r="D885" s="13"/>
      <c r="E885" s="8" t="str">
        <f>IF(C885="","",MAX(0,SUMIFS('CHIT REGISTER (ಮಾಸಿಕ ಚಿಟ್ ನೋಂದಣ'!$D$5:$D$502,'CHIT REGISTER (ಮಾಸಿಕ ಚಿಟ್ ನೋಂದಣ'!$F$5:$F$502,C885,'CHIT REGISTER (ಮಾಸಿಕ ಚಿಟ್ ನೋಂದಣ'!$G$5:$G$502,"UNPAID")-IF(F885="PAID",N(D885),0)))</f>
        <v/>
      </c>
      <c r="F885" s="4"/>
      <c r="G885" s="12"/>
      <c r="H885" s="2"/>
    </row>
    <row r="886" spans="1:8">
      <c r="A886" s="1"/>
      <c r="B886" s="14"/>
      <c r="C886" s="1"/>
      <c r="D886" s="15"/>
      <c r="E886" s="9" t="str">
        <f>IF(C886="","",MAX(0,SUMIFS('CHIT REGISTER (ಮಾಸಿಕ ಚಿಟ್ ನೋಂದಣ'!$D$5:$D$502,'CHIT REGISTER (ಮಾಸಿಕ ಚಿಟ್ ನೋಂದಣ'!$F$5:$F$502,C886,'CHIT REGISTER (ಮಾಸಿಕ ಚಿಟ್ ನೋಂದಣ'!$G$5:$G$502,"UNPAID")-IF(F886="PAID",N(D886),0)))</f>
        <v/>
      </c>
      <c r="F886" s="3"/>
      <c r="G886" s="14"/>
      <c r="H886" s="1"/>
    </row>
    <row r="887" spans="1:8">
      <c r="A887" s="2"/>
      <c r="B887" s="12"/>
      <c r="C887" s="2"/>
      <c r="D887" s="13"/>
      <c r="E887" s="8" t="str">
        <f>IF(C887="","",MAX(0,SUMIFS('CHIT REGISTER (ಮಾಸಿಕ ಚಿಟ್ ನೋಂದಣ'!$D$5:$D$502,'CHIT REGISTER (ಮಾಸಿಕ ಚಿಟ್ ನೋಂದಣ'!$F$5:$F$502,C887,'CHIT REGISTER (ಮಾಸಿಕ ಚಿಟ್ ನೋಂದಣ'!$G$5:$G$502,"UNPAID")-IF(F887="PAID",N(D887),0)))</f>
        <v/>
      </c>
      <c r="F887" s="4"/>
      <c r="G887" s="12"/>
      <c r="H887" s="2"/>
    </row>
    <row r="888" spans="1:8">
      <c r="A888" s="1"/>
      <c r="B888" s="14"/>
      <c r="C888" s="1"/>
      <c r="D888" s="15"/>
      <c r="E888" s="9" t="str">
        <f>IF(C888="","",MAX(0,SUMIFS('CHIT REGISTER (ಮಾಸಿಕ ಚಿಟ್ ನೋಂದಣ'!$D$5:$D$502,'CHIT REGISTER (ಮಾಸಿಕ ಚಿಟ್ ನೋಂದಣ'!$F$5:$F$502,C888,'CHIT REGISTER (ಮಾಸಿಕ ಚಿಟ್ ನೋಂದಣ'!$G$5:$G$502,"UNPAID")-IF(F888="PAID",N(D888),0)))</f>
        <v/>
      </c>
      <c r="F888" s="3"/>
      <c r="G888" s="14"/>
      <c r="H888" s="1"/>
    </row>
    <row r="889" spans="1:8">
      <c r="A889" s="2"/>
      <c r="B889" s="12"/>
      <c r="C889" s="2"/>
      <c r="D889" s="13"/>
      <c r="E889" s="8" t="str">
        <f>IF(C889="","",MAX(0,SUMIFS('CHIT REGISTER (ಮಾಸಿಕ ಚಿಟ್ ನೋಂದಣ'!$D$5:$D$502,'CHIT REGISTER (ಮಾಸಿಕ ಚಿಟ್ ನೋಂದಣ'!$F$5:$F$502,C889,'CHIT REGISTER (ಮಾಸಿಕ ಚಿಟ್ ನೋಂದಣ'!$G$5:$G$502,"UNPAID")-IF(F889="PAID",N(D889),0)))</f>
        <v/>
      </c>
      <c r="F889" s="4"/>
      <c r="G889" s="12"/>
      <c r="H889" s="2"/>
    </row>
    <row r="890" spans="1:8">
      <c r="A890" s="1"/>
      <c r="B890" s="14"/>
      <c r="C890" s="1"/>
      <c r="D890" s="15"/>
      <c r="E890" s="9" t="str">
        <f>IF(C890="","",MAX(0,SUMIFS('CHIT REGISTER (ಮಾಸಿಕ ಚಿಟ್ ನೋಂದಣ'!$D$5:$D$502,'CHIT REGISTER (ಮಾಸಿಕ ಚಿಟ್ ನೋಂದಣ'!$F$5:$F$502,C890,'CHIT REGISTER (ಮಾಸಿಕ ಚಿಟ್ ನೋಂದಣ'!$G$5:$G$502,"UNPAID")-IF(F890="PAID",N(D890),0)))</f>
        <v/>
      </c>
      <c r="F890" s="3"/>
      <c r="G890" s="14"/>
      <c r="H890" s="1"/>
    </row>
    <row r="891" spans="1:8">
      <c r="A891" s="2"/>
      <c r="B891" s="12"/>
      <c r="C891" s="2"/>
      <c r="D891" s="13"/>
      <c r="E891" s="8" t="str">
        <f>IF(C891="","",MAX(0,SUMIFS('CHIT REGISTER (ಮಾಸಿಕ ಚಿಟ್ ನೋಂದಣ'!$D$5:$D$502,'CHIT REGISTER (ಮಾಸಿಕ ಚಿಟ್ ನೋಂದಣ'!$F$5:$F$502,C891,'CHIT REGISTER (ಮಾಸಿಕ ಚಿಟ್ ನೋಂದಣ'!$G$5:$G$502,"UNPAID")-IF(F891="PAID",N(D891),0)))</f>
        <v/>
      </c>
      <c r="F891" s="4"/>
      <c r="G891" s="12"/>
      <c r="H891" s="2"/>
    </row>
    <row r="892" spans="1:8">
      <c r="A892" s="1"/>
      <c r="B892" s="14"/>
      <c r="C892" s="1"/>
      <c r="D892" s="15"/>
      <c r="E892" s="9" t="str">
        <f>IF(C892="","",MAX(0,SUMIFS('CHIT REGISTER (ಮಾಸಿಕ ಚಿಟ್ ನೋಂದಣ'!$D$5:$D$502,'CHIT REGISTER (ಮಾಸಿಕ ಚಿಟ್ ನೋಂದಣ'!$F$5:$F$502,C892,'CHIT REGISTER (ಮಾಸಿಕ ಚಿಟ್ ನೋಂದಣ'!$G$5:$G$502,"UNPAID")-IF(F892="PAID",N(D892),0)))</f>
        <v/>
      </c>
      <c r="F892" s="3"/>
      <c r="G892" s="14"/>
      <c r="H892" s="1"/>
    </row>
    <row r="893" spans="1:8">
      <c r="A893" s="2"/>
      <c r="B893" s="12"/>
      <c r="C893" s="2"/>
      <c r="D893" s="13"/>
      <c r="E893" s="8" t="str">
        <f>IF(C893="","",MAX(0,SUMIFS('CHIT REGISTER (ಮಾಸಿಕ ಚಿಟ್ ನೋಂದಣ'!$D$5:$D$502,'CHIT REGISTER (ಮಾಸಿಕ ಚಿಟ್ ನೋಂದಣ'!$F$5:$F$502,C893,'CHIT REGISTER (ಮಾಸಿಕ ಚಿಟ್ ನೋಂದಣ'!$G$5:$G$502,"UNPAID")-IF(F893="PAID",N(D893),0)))</f>
        <v/>
      </c>
      <c r="F893" s="4"/>
      <c r="G893" s="12"/>
      <c r="H893" s="2"/>
    </row>
    <row r="894" spans="1:8">
      <c r="A894" s="1"/>
      <c r="B894" s="14"/>
      <c r="C894" s="1"/>
      <c r="D894" s="15"/>
      <c r="E894" s="9" t="str">
        <f>IF(C894="","",MAX(0,SUMIFS('CHIT REGISTER (ಮಾಸಿಕ ಚಿಟ್ ನೋಂದಣ'!$D$5:$D$502,'CHIT REGISTER (ಮಾಸಿಕ ಚಿಟ್ ನೋಂದಣ'!$F$5:$F$502,C894,'CHIT REGISTER (ಮಾಸಿಕ ಚಿಟ್ ನೋಂದಣ'!$G$5:$G$502,"UNPAID")-IF(F894="PAID",N(D894),0)))</f>
        <v/>
      </c>
      <c r="F894" s="3"/>
      <c r="G894" s="14"/>
      <c r="H894" s="1"/>
    </row>
    <row r="895" spans="1:8">
      <c r="A895" s="2"/>
      <c r="B895" s="12"/>
      <c r="C895" s="2"/>
      <c r="D895" s="13"/>
      <c r="E895" s="8" t="str">
        <f>IF(C895="","",MAX(0,SUMIFS('CHIT REGISTER (ಮಾಸಿಕ ಚಿಟ್ ನೋಂದಣ'!$D$5:$D$502,'CHIT REGISTER (ಮಾಸಿಕ ಚಿಟ್ ನೋಂದಣ'!$F$5:$F$502,C895,'CHIT REGISTER (ಮಾಸಿಕ ಚಿಟ್ ನೋಂದಣ'!$G$5:$G$502,"UNPAID")-IF(F895="PAID",N(D895),0)))</f>
        <v/>
      </c>
      <c r="F895" s="4"/>
      <c r="G895" s="12"/>
      <c r="H895" s="2"/>
    </row>
    <row r="896" spans="1:8">
      <c r="A896" s="1"/>
      <c r="B896" s="14"/>
      <c r="C896" s="1"/>
      <c r="D896" s="15"/>
      <c r="E896" s="9" t="str">
        <f>IF(C896="","",MAX(0,SUMIFS('CHIT REGISTER (ಮಾಸಿಕ ಚಿಟ್ ನೋಂದಣ'!$D$5:$D$502,'CHIT REGISTER (ಮಾಸಿಕ ಚಿಟ್ ನೋಂದಣ'!$F$5:$F$502,C896,'CHIT REGISTER (ಮಾಸಿಕ ಚಿಟ್ ನೋಂದಣ'!$G$5:$G$502,"UNPAID")-IF(F896="PAID",N(D896),0)))</f>
        <v/>
      </c>
      <c r="F896" s="3"/>
      <c r="G896" s="14"/>
      <c r="H896" s="1"/>
    </row>
    <row r="897" spans="1:8">
      <c r="A897" s="2"/>
      <c r="B897" s="12"/>
      <c r="C897" s="2"/>
      <c r="D897" s="13"/>
      <c r="E897" s="8" t="str">
        <f>IF(C897="","",MAX(0,SUMIFS('CHIT REGISTER (ಮಾಸಿಕ ಚಿಟ್ ನೋಂದಣ'!$D$5:$D$502,'CHIT REGISTER (ಮಾಸಿಕ ಚಿಟ್ ನೋಂದಣ'!$F$5:$F$502,C897,'CHIT REGISTER (ಮಾಸಿಕ ಚಿಟ್ ನೋಂದಣ'!$G$5:$G$502,"UNPAID")-IF(F897="PAID",N(D897),0)))</f>
        <v/>
      </c>
      <c r="F897" s="4"/>
      <c r="G897" s="12"/>
      <c r="H897" s="2"/>
    </row>
    <row r="898" spans="1:8">
      <c r="A898" s="1"/>
      <c r="B898" s="14"/>
      <c r="C898" s="1"/>
      <c r="D898" s="15"/>
      <c r="E898" s="9" t="str">
        <f>IF(C898="","",MAX(0,SUMIFS('CHIT REGISTER (ಮಾಸಿಕ ಚಿಟ್ ನೋಂದಣ'!$D$5:$D$502,'CHIT REGISTER (ಮಾಸಿಕ ಚಿಟ್ ನೋಂದಣ'!$F$5:$F$502,C898,'CHIT REGISTER (ಮಾಸಿಕ ಚಿಟ್ ನೋಂದಣ'!$G$5:$G$502,"UNPAID")-IF(F898="PAID",N(D898),0)))</f>
        <v/>
      </c>
      <c r="F898" s="3"/>
      <c r="G898" s="14"/>
      <c r="H898" s="1"/>
    </row>
    <row r="899" spans="1:8">
      <c r="A899" s="2"/>
      <c r="B899" s="12"/>
      <c r="C899" s="2"/>
      <c r="D899" s="13"/>
      <c r="E899" s="8" t="str">
        <f>IF(C899="","",MAX(0,SUMIFS('CHIT REGISTER (ಮಾಸಿಕ ಚಿಟ್ ನೋಂದಣ'!$D$5:$D$502,'CHIT REGISTER (ಮಾಸಿಕ ಚಿಟ್ ನೋಂದಣ'!$F$5:$F$502,C899,'CHIT REGISTER (ಮಾಸಿಕ ಚಿಟ್ ನೋಂದಣ'!$G$5:$G$502,"UNPAID")-IF(F899="PAID",N(D899),0)))</f>
        <v/>
      </c>
      <c r="F899" s="4"/>
      <c r="G899" s="12"/>
      <c r="H899" s="2"/>
    </row>
    <row r="900" spans="1:8">
      <c r="A900" s="1"/>
      <c r="B900" s="14"/>
      <c r="C900" s="1"/>
      <c r="D900" s="15"/>
      <c r="E900" s="9" t="str">
        <f>IF(C900="","",MAX(0,SUMIFS('CHIT REGISTER (ಮಾಸಿಕ ಚಿಟ್ ನೋಂದಣ'!$D$5:$D$502,'CHIT REGISTER (ಮಾಸಿಕ ಚಿಟ್ ನೋಂದಣ'!$F$5:$F$502,C900,'CHIT REGISTER (ಮಾಸಿಕ ಚಿಟ್ ನೋಂದಣ'!$G$5:$G$502,"UNPAID")-IF(F900="PAID",N(D900),0)))</f>
        <v/>
      </c>
      <c r="F900" s="3"/>
      <c r="G900" s="14"/>
      <c r="H900" s="1"/>
    </row>
    <row r="901" spans="1:8">
      <c r="A901" s="2"/>
      <c r="B901" s="12"/>
      <c r="C901" s="2"/>
      <c r="D901" s="13"/>
      <c r="E901" s="8" t="str">
        <f>IF(C901="","",MAX(0,SUMIFS('CHIT REGISTER (ಮಾಸಿಕ ಚಿಟ್ ನೋಂದಣ'!$D$5:$D$502,'CHIT REGISTER (ಮಾಸಿಕ ಚಿಟ್ ನೋಂದಣ'!$F$5:$F$502,C901,'CHIT REGISTER (ಮಾಸಿಕ ಚಿಟ್ ನೋಂದಣ'!$G$5:$G$502,"UNPAID")-IF(F901="PAID",N(D901),0)))</f>
        <v/>
      </c>
      <c r="F901" s="4"/>
      <c r="G901" s="12"/>
      <c r="H901" s="2"/>
    </row>
    <row r="902" spans="1:8">
      <c r="A902" s="1"/>
      <c r="B902" s="14"/>
      <c r="C902" s="1"/>
      <c r="D902" s="15"/>
      <c r="E902" s="9" t="str">
        <f>IF(C902="","",MAX(0,SUMIFS('CHIT REGISTER (ಮಾಸಿಕ ಚಿಟ್ ನೋಂದಣ'!$D$5:$D$502,'CHIT REGISTER (ಮಾಸಿಕ ಚಿಟ್ ನೋಂದಣ'!$F$5:$F$502,C902,'CHIT REGISTER (ಮಾಸಿಕ ಚಿಟ್ ನೋಂದಣ'!$G$5:$G$502,"UNPAID")-IF(F902="PAID",N(D902),0)))</f>
        <v/>
      </c>
      <c r="F902" s="3"/>
      <c r="G902" s="14"/>
      <c r="H902" s="1"/>
    </row>
    <row r="903" spans="1:8">
      <c r="A903" s="2"/>
      <c r="B903" s="12"/>
      <c r="C903" s="2"/>
      <c r="D903" s="13"/>
      <c r="E903" s="8" t="str">
        <f>IF(C903="","",MAX(0,SUMIFS('CHIT REGISTER (ಮಾಸಿಕ ಚಿಟ್ ನೋಂದಣ'!$D$5:$D$502,'CHIT REGISTER (ಮಾಸಿಕ ಚಿಟ್ ನೋಂದಣ'!$F$5:$F$502,C903,'CHIT REGISTER (ಮಾಸಿಕ ಚಿಟ್ ನೋಂದಣ'!$G$5:$G$502,"UNPAID")-IF(F903="PAID",N(D903),0)))</f>
        <v/>
      </c>
      <c r="F903" s="4"/>
      <c r="G903" s="12"/>
      <c r="H903" s="2"/>
    </row>
    <row r="904" spans="1:8">
      <c r="A904" s="1"/>
      <c r="B904" s="14"/>
      <c r="C904" s="1"/>
      <c r="D904" s="15"/>
      <c r="E904" s="9" t="str">
        <f>IF(C904="","",MAX(0,SUMIFS('CHIT REGISTER (ಮಾಸಿಕ ಚಿಟ್ ನೋಂದಣ'!$D$5:$D$502,'CHIT REGISTER (ಮಾಸಿಕ ಚಿಟ್ ನೋಂದಣ'!$F$5:$F$502,C904,'CHIT REGISTER (ಮಾಸಿಕ ಚಿಟ್ ನೋಂದಣ'!$G$5:$G$502,"UNPAID")-IF(F904="PAID",N(D904),0)))</f>
        <v/>
      </c>
      <c r="F904" s="3"/>
      <c r="G904" s="14"/>
      <c r="H904" s="1"/>
    </row>
    <row r="905" spans="1:8">
      <c r="A905" s="2"/>
      <c r="B905" s="12"/>
      <c r="C905" s="2"/>
      <c r="D905" s="13"/>
      <c r="E905" s="8" t="str">
        <f>IF(C905="","",MAX(0,SUMIFS('CHIT REGISTER (ಮಾಸಿಕ ಚಿಟ್ ನೋಂದಣ'!$D$5:$D$502,'CHIT REGISTER (ಮಾಸಿಕ ಚಿಟ್ ನೋಂದಣ'!$F$5:$F$502,C905,'CHIT REGISTER (ಮಾಸಿಕ ಚಿಟ್ ನೋಂದಣ'!$G$5:$G$502,"UNPAID")-IF(F905="PAID",N(D905),0)))</f>
        <v/>
      </c>
      <c r="F905" s="4"/>
      <c r="G905" s="12"/>
      <c r="H905" s="2"/>
    </row>
    <row r="906" spans="1:8">
      <c r="A906" s="1"/>
      <c r="B906" s="14"/>
      <c r="C906" s="1"/>
      <c r="D906" s="15"/>
      <c r="E906" s="9" t="str">
        <f>IF(C906="","",MAX(0,SUMIFS('CHIT REGISTER (ಮಾಸಿಕ ಚಿಟ್ ನೋಂದಣ'!$D$5:$D$502,'CHIT REGISTER (ಮಾಸಿಕ ಚಿಟ್ ನೋಂದಣ'!$F$5:$F$502,C906,'CHIT REGISTER (ಮಾಸಿಕ ಚಿಟ್ ನೋಂದಣ'!$G$5:$G$502,"UNPAID")-IF(F906="PAID",N(D906),0)))</f>
        <v/>
      </c>
      <c r="F906" s="3"/>
      <c r="G906" s="14"/>
      <c r="H906" s="1"/>
    </row>
    <row r="907" spans="1:8">
      <c r="A907" s="2"/>
      <c r="B907" s="12"/>
      <c r="C907" s="2"/>
      <c r="D907" s="13"/>
      <c r="E907" s="8" t="str">
        <f>IF(C907="","",MAX(0,SUMIFS('CHIT REGISTER (ಮಾಸಿಕ ಚಿಟ್ ನೋಂದಣ'!$D$5:$D$502,'CHIT REGISTER (ಮಾಸಿಕ ಚಿಟ್ ನೋಂದಣ'!$F$5:$F$502,C907,'CHIT REGISTER (ಮಾಸಿಕ ಚಿಟ್ ನೋಂದಣ'!$G$5:$G$502,"UNPAID")-IF(F907="PAID",N(D907),0)))</f>
        <v/>
      </c>
      <c r="F907" s="4"/>
      <c r="G907" s="12"/>
      <c r="H907" s="2"/>
    </row>
    <row r="908" spans="1:8">
      <c r="A908" s="1"/>
      <c r="B908" s="14"/>
      <c r="C908" s="1"/>
      <c r="D908" s="15"/>
      <c r="E908" s="9" t="str">
        <f>IF(C908="","",MAX(0,SUMIFS('CHIT REGISTER (ಮಾಸಿಕ ಚಿಟ್ ನೋಂದಣ'!$D$5:$D$502,'CHIT REGISTER (ಮಾಸಿಕ ಚಿಟ್ ನೋಂದಣ'!$F$5:$F$502,C908,'CHIT REGISTER (ಮಾಸಿಕ ಚಿಟ್ ನೋಂದಣ'!$G$5:$G$502,"UNPAID")-IF(F908="PAID",N(D908),0)))</f>
        <v/>
      </c>
      <c r="F908" s="3"/>
      <c r="G908" s="14"/>
      <c r="H908" s="1"/>
    </row>
    <row r="909" spans="1:8">
      <c r="A909" s="2"/>
      <c r="B909" s="12"/>
      <c r="C909" s="2"/>
      <c r="D909" s="13"/>
      <c r="E909" s="8" t="str">
        <f>IF(C909="","",MAX(0,SUMIFS('CHIT REGISTER (ಮಾಸಿಕ ಚಿಟ್ ನೋಂದಣ'!$D$5:$D$502,'CHIT REGISTER (ಮಾಸಿಕ ಚಿಟ್ ನೋಂದಣ'!$F$5:$F$502,C909,'CHIT REGISTER (ಮಾಸಿಕ ಚಿಟ್ ನೋಂದಣ'!$G$5:$G$502,"UNPAID")-IF(F909="PAID",N(D909),0)))</f>
        <v/>
      </c>
      <c r="F909" s="4"/>
      <c r="G909" s="12"/>
      <c r="H909" s="2"/>
    </row>
    <row r="910" spans="1:8">
      <c r="A910" s="1"/>
      <c r="B910" s="14"/>
      <c r="C910" s="1"/>
      <c r="D910" s="15"/>
      <c r="E910" s="9" t="str">
        <f>IF(C910="","",MAX(0,SUMIFS('CHIT REGISTER (ಮಾಸಿಕ ಚಿಟ್ ನೋಂದಣ'!$D$5:$D$502,'CHIT REGISTER (ಮಾಸಿಕ ಚಿಟ್ ನೋಂದಣ'!$F$5:$F$502,C910,'CHIT REGISTER (ಮಾಸಿಕ ಚಿಟ್ ನೋಂದಣ'!$G$5:$G$502,"UNPAID")-IF(F910="PAID",N(D910),0)))</f>
        <v/>
      </c>
      <c r="F910" s="3"/>
      <c r="G910" s="14"/>
      <c r="H910" s="1"/>
    </row>
    <row r="911" spans="1:8">
      <c r="A911" s="2"/>
      <c r="B911" s="12"/>
      <c r="C911" s="2"/>
      <c r="D911" s="13"/>
      <c r="E911" s="8" t="str">
        <f>IF(C911="","",MAX(0,SUMIFS('CHIT REGISTER (ಮಾಸಿಕ ಚಿಟ್ ನೋಂದಣ'!$D$5:$D$502,'CHIT REGISTER (ಮಾಸಿಕ ಚಿಟ್ ನೋಂದಣ'!$F$5:$F$502,C911,'CHIT REGISTER (ಮಾಸಿಕ ಚಿಟ್ ನೋಂದಣ'!$G$5:$G$502,"UNPAID")-IF(F911="PAID",N(D911),0)))</f>
        <v/>
      </c>
      <c r="F911" s="4"/>
      <c r="G911" s="12"/>
      <c r="H911" s="2"/>
    </row>
    <row r="912" spans="1:8">
      <c r="A912" s="1"/>
      <c r="B912" s="14"/>
      <c r="C912" s="1"/>
      <c r="D912" s="15"/>
      <c r="E912" s="9" t="str">
        <f>IF(C912="","",MAX(0,SUMIFS('CHIT REGISTER (ಮಾಸಿಕ ಚಿಟ್ ನೋಂದಣ'!$D$5:$D$502,'CHIT REGISTER (ಮಾಸಿಕ ಚಿಟ್ ನೋಂದಣ'!$F$5:$F$502,C912,'CHIT REGISTER (ಮಾಸಿಕ ಚಿಟ್ ನೋಂದಣ'!$G$5:$G$502,"UNPAID")-IF(F912="PAID",N(D912),0)))</f>
        <v/>
      </c>
      <c r="F912" s="3"/>
      <c r="G912" s="14"/>
      <c r="H912" s="1"/>
    </row>
    <row r="913" spans="1:8">
      <c r="A913" s="2"/>
      <c r="B913" s="12"/>
      <c r="C913" s="2"/>
      <c r="D913" s="13"/>
      <c r="E913" s="8" t="str">
        <f>IF(C913="","",MAX(0,SUMIFS('CHIT REGISTER (ಮಾಸಿಕ ಚಿಟ್ ನೋಂದಣ'!$D$5:$D$502,'CHIT REGISTER (ಮಾಸಿಕ ಚಿಟ್ ನೋಂದಣ'!$F$5:$F$502,C913,'CHIT REGISTER (ಮಾಸಿಕ ಚಿಟ್ ನೋಂದಣ'!$G$5:$G$502,"UNPAID")-IF(F913="PAID",N(D913),0)))</f>
        <v/>
      </c>
      <c r="F913" s="4"/>
      <c r="G913" s="12"/>
      <c r="H913" s="2"/>
    </row>
    <row r="914" spans="1:8">
      <c r="A914" s="1"/>
      <c r="B914" s="14"/>
      <c r="C914" s="1"/>
      <c r="D914" s="15"/>
      <c r="E914" s="9" t="str">
        <f>IF(C914="","",MAX(0,SUMIFS('CHIT REGISTER (ಮಾಸಿಕ ಚಿಟ್ ನೋಂದಣ'!$D$5:$D$502,'CHIT REGISTER (ಮಾಸಿಕ ಚಿಟ್ ನೋಂದಣ'!$F$5:$F$502,C914,'CHIT REGISTER (ಮಾಸಿಕ ಚಿಟ್ ನೋಂದಣ'!$G$5:$G$502,"UNPAID")-IF(F914="PAID",N(D914),0)))</f>
        <v/>
      </c>
      <c r="F914" s="3"/>
      <c r="G914" s="14"/>
      <c r="H914" s="1"/>
    </row>
    <row r="915" spans="1:8">
      <c r="A915" s="2"/>
      <c r="B915" s="12"/>
      <c r="C915" s="2"/>
      <c r="D915" s="13"/>
      <c r="E915" s="8" t="str">
        <f>IF(C915="","",MAX(0,SUMIFS('CHIT REGISTER (ಮಾಸಿಕ ಚಿಟ್ ನೋಂದಣ'!$D$5:$D$502,'CHIT REGISTER (ಮಾಸಿಕ ಚಿಟ್ ನೋಂದಣ'!$F$5:$F$502,C915,'CHIT REGISTER (ಮಾಸಿಕ ಚಿಟ್ ನೋಂದಣ'!$G$5:$G$502,"UNPAID")-IF(F915="PAID",N(D915),0)))</f>
        <v/>
      </c>
      <c r="F915" s="4"/>
      <c r="G915" s="12"/>
      <c r="H915" s="2"/>
    </row>
    <row r="916" spans="1:8">
      <c r="A916" s="1"/>
      <c r="B916" s="14"/>
      <c r="C916" s="1"/>
      <c r="D916" s="15"/>
      <c r="E916" s="9" t="str">
        <f>IF(C916="","",MAX(0,SUMIFS('CHIT REGISTER (ಮಾಸಿಕ ಚಿಟ್ ನೋಂದಣ'!$D$5:$D$502,'CHIT REGISTER (ಮಾಸಿಕ ಚಿಟ್ ನೋಂದಣ'!$F$5:$F$502,C916,'CHIT REGISTER (ಮಾಸಿಕ ಚಿಟ್ ನೋಂದಣ'!$G$5:$G$502,"UNPAID")-IF(F916="PAID",N(D916),0)))</f>
        <v/>
      </c>
      <c r="F916" s="3"/>
      <c r="G916" s="14"/>
      <c r="H916" s="1"/>
    </row>
    <row r="917" spans="1:8">
      <c r="A917" s="2"/>
      <c r="B917" s="12"/>
      <c r="C917" s="2"/>
      <c r="D917" s="13"/>
      <c r="E917" s="8" t="str">
        <f>IF(C917="","",MAX(0,SUMIFS('CHIT REGISTER (ಮಾಸಿಕ ಚಿಟ್ ನೋಂದಣ'!$D$5:$D$502,'CHIT REGISTER (ಮಾಸಿಕ ಚಿಟ್ ನೋಂದಣ'!$F$5:$F$502,C917,'CHIT REGISTER (ಮಾಸಿಕ ಚಿಟ್ ನೋಂದಣ'!$G$5:$G$502,"UNPAID")-IF(F917="PAID",N(D917),0)))</f>
        <v/>
      </c>
      <c r="F917" s="4"/>
      <c r="G917" s="12"/>
      <c r="H917" s="2"/>
    </row>
    <row r="918" spans="1:8">
      <c r="A918" s="1"/>
      <c r="B918" s="14"/>
      <c r="C918" s="1"/>
      <c r="D918" s="15"/>
      <c r="E918" s="9" t="str">
        <f>IF(C918="","",MAX(0,SUMIFS('CHIT REGISTER (ಮಾಸಿಕ ಚಿಟ್ ನೋಂದಣ'!$D$5:$D$502,'CHIT REGISTER (ಮಾಸಿಕ ಚಿಟ್ ನೋಂದಣ'!$F$5:$F$502,C918,'CHIT REGISTER (ಮಾಸಿಕ ಚಿಟ್ ನೋಂದಣ'!$G$5:$G$502,"UNPAID")-IF(F918="PAID",N(D918),0)))</f>
        <v/>
      </c>
      <c r="F918" s="3"/>
      <c r="G918" s="14"/>
      <c r="H918" s="1"/>
    </row>
    <row r="919" spans="1:8">
      <c r="A919" s="2"/>
      <c r="B919" s="12"/>
      <c r="C919" s="2"/>
      <c r="D919" s="13"/>
      <c r="E919" s="8" t="str">
        <f>IF(C919="","",MAX(0,SUMIFS('CHIT REGISTER (ಮಾಸಿಕ ಚಿಟ್ ನೋಂದಣ'!$D$5:$D$502,'CHIT REGISTER (ಮಾಸಿಕ ಚಿಟ್ ನೋಂದಣ'!$F$5:$F$502,C919,'CHIT REGISTER (ಮಾಸಿಕ ಚಿಟ್ ನೋಂದಣ'!$G$5:$G$502,"UNPAID")-IF(F919="PAID",N(D919),0)))</f>
        <v/>
      </c>
      <c r="F919" s="4"/>
      <c r="G919" s="12"/>
      <c r="H919" s="2"/>
    </row>
    <row r="920" spans="1:8">
      <c r="A920" s="1"/>
      <c r="B920" s="14"/>
      <c r="C920" s="1"/>
      <c r="D920" s="15"/>
      <c r="E920" s="9" t="str">
        <f>IF(C920="","",MAX(0,SUMIFS('CHIT REGISTER (ಮಾಸಿಕ ಚಿಟ್ ನೋಂದಣ'!$D$5:$D$502,'CHIT REGISTER (ಮಾಸಿಕ ಚಿಟ್ ನೋಂದಣ'!$F$5:$F$502,C920,'CHIT REGISTER (ಮಾಸಿಕ ಚಿಟ್ ನೋಂದಣ'!$G$5:$G$502,"UNPAID")-IF(F920="PAID",N(D920),0)))</f>
        <v/>
      </c>
      <c r="F920" s="3"/>
      <c r="G920" s="14"/>
      <c r="H920" s="1"/>
    </row>
    <row r="921" spans="1:8">
      <c r="A921" s="2"/>
      <c r="B921" s="12"/>
      <c r="C921" s="2"/>
      <c r="D921" s="13"/>
      <c r="E921" s="8" t="str">
        <f>IF(C921="","",MAX(0,SUMIFS('CHIT REGISTER (ಮಾಸಿಕ ಚಿಟ್ ನೋಂದಣ'!$D$5:$D$502,'CHIT REGISTER (ಮಾಸಿಕ ಚಿಟ್ ನೋಂದಣ'!$F$5:$F$502,C921,'CHIT REGISTER (ಮಾಸಿಕ ಚಿಟ್ ನೋಂದಣ'!$G$5:$G$502,"UNPAID")-IF(F921="PAID",N(D921),0)))</f>
        <v/>
      </c>
      <c r="F921" s="4"/>
      <c r="G921" s="12"/>
      <c r="H921" s="2"/>
    </row>
    <row r="922" spans="1:8">
      <c r="A922" s="1"/>
      <c r="B922" s="14"/>
      <c r="C922" s="1"/>
      <c r="D922" s="15"/>
      <c r="E922" s="9" t="str">
        <f>IF(C922="","",MAX(0,SUMIFS('CHIT REGISTER (ಮಾಸಿಕ ಚಿಟ್ ನೋಂದಣ'!$D$5:$D$502,'CHIT REGISTER (ಮಾಸಿಕ ಚಿಟ್ ನೋಂದಣ'!$F$5:$F$502,C922,'CHIT REGISTER (ಮಾಸಿಕ ಚಿಟ್ ನೋಂದಣ'!$G$5:$G$502,"UNPAID")-IF(F922="PAID",N(D922),0)))</f>
        <v/>
      </c>
      <c r="F922" s="3"/>
      <c r="G922" s="14"/>
      <c r="H922" s="1"/>
    </row>
    <row r="923" spans="1:8">
      <c r="A923" s="2"/>
      <c r="B923" s="12"/>
      <c r="C923" s="2"/>
      <c r="D923" s="13"/>
      <c r="E923" s="8" t="str">
        <f>IF(C923="","",MAX(0,SUMIFS('CHIT REGISTER (ಮಾಸಿಕ ಚಿಟ್ ನೋಂದಣ'!$D$5:$D$502,'CHIT REGISTER (ಮಾಸಿಕ ಚಿಟ್ ನೋಂದಣ'!$F$5:$F$502,C923,'CHIT REGISTER (ಮಾಸಿಕ ಚಿಟ್ ನೋಂದಣ'!$G$5:$G$502,"UNPAID")-IF(F923="PAID",N(D923),0)))</f>
        <v/>
      </c>
      <c r="F923" s="4"/>
      <c r="G923" s="12"/>
      <c r="H923" s="2"/>
    </row>
    <row r="924" spans="1:8">
      <c r="A924" s="1"/>
      <c r="B924" s="14"/>
      <c r="C924" s="1"/>
      <c r="D924" s="15"/>
      <c r="E924" s="9" t="str">
        <f>IF(C924="","",MAX(0,SUMIFS('CHIT REGISTER (ಮಾಸಿಕ ಚಿಟ್ ನೋಂದಣ'!$D$5:$D$502,'CHIT REGISTER (ಮಾಸಿಕ ಚಿಟ್ ನೋಂದಣ'!$F$5:$F$502,C924,'CHIT REGISTER (ಮಾಸಿಕ ಚಿಟ್ ನೋಂದಣ'!$G$5:$G$502,"UNPAID")-IF(F924="PAID",N(D924),0)))</f>
        <v/>
      </c>
      <c r="F924" s="3"/>
      <c r="G924" s="14"/>
      <c r="H924" s="1"/>
    </row>
    <row r="925" spans="1:8">
      <c r="A925" s="2"/>
      <c r="B925" s="12"/>
      <c r="C925" s="2"/>
      <c r="D925" s="13"/>
      <c r="E925" s="8" t="str">
        <f>IF(C925="","",MAX(0,SUMIFS('CHIT REGISTER (ಮಾಸಿಕ ಚಿಟ್ ನೋಂದಣ'!$D$5:$D$502,'CHIT REGISTER (ಮಾಸಿಕ ಚಿಟ್ ನೋಂದಣ'!$F$5:$F$502,C925,'CHIT REGISTER (ಮಾಸಿಕ ಚಿಟ್ ನೋಂದಣ'!$G$5:$G$502,"UNPAID")-IF(F925="PAID",N(D925),0)))</f>
        <v/>
      </c>
      <c r="F925" s="4"/>
      <c r="G925" s="12"/>
      <c r="H925" s="2"/>
    </row>
    <row r="926" spans="1:8">
      <c r="A926" s="1"/>
      <c r="B926" s="14"/>
      <c r="C926" s="1"/>
      <c r="D926" s="15"/>
      <c r="E926" s="9" t="str">
        <f>IF(C926="","",MAX(0,SUMIFS('CHIT REGISTER (ಮಾಸಿಕ ಚಿಟ್ ನೋಂದಣ'!$D$5:$D$502,'CHIT REGISTER (ಮಾಸಿಕ ಚಿಟ್ ನೋಂದಣ'!$F$5:$F$502,C926,'CHIT REGISTER (ಮಾಸಿಕ ಚಿಟ್ ನೋಂದಣ'!$G$5:$G$502,"UNPAID")-IF(F926="PAID",N(D926),0)))</f>
        <v/>
      </c>
      <c r="F926" s="3"/>
      <c r="G926" s="14"/>
      <c r="H926" s="1"/>
    </row>
    <row r="927" spans="1:8">
      <c r="A927" s="2"/>
      <c r="B927" s="12"/>
      <c r="C927" s="2"/>
      <c r="D927" s="13"/>
      <c r="E927" s="8" t="str">
        <f>IF(C927="","",MAX(0,SUMIFS('CHIT REGISTER (ಮಾಸಿಕ ಚಿಟ್ ನೋಂದಣ'!$D$5:$D$502,'CHIT REGISTER (ಮಾಸಿಕ ಚಿಟ್ ನೋಂದಣ'!$F$5:$F$502,C927,'CHIT REGISTER (ಮಾಸಿಕ ಚಿಟ್ ನೋಂದಣ'!$G$5:$G$502,"UNPAID")-IF(F927="PAID",N(D927),0)))</f>
        <v/>
      </c>
      <c r="F927" s="4"/>
      <c r="G927" s="12"/>
      <c r="H927" s="2"/>
    </row>
    <row r="928" spans="1:8">
      <c r="A928" s="1"/>
      <c r="B928" s="14"/>
      <c r="C928" s="1"/>
      <c r="D928" s="15"/>
      <c r="E928" s="9" t="str">
        <f>IF(C928="","",MAX(0,SUMIFS('CHIT REGISTER (ಮಾಸಿಕ ಚಿಟ್ ನೋಂದಣ'!$D$5:$D$502,'CHIT REGISTER (ಮಾಸಿಕ ಚಿಟ್ ನೋಂದಣ'!$F$5:$F$502,C928,'CHIT REGISTER (ಮಾಸಿಕ ಚಿಟ್ ನೋಂದಣ'!$G$5:$G$502,"UNPAID")-IF(F928="PAID",N(D928),0)))</f>
        <v/>
      </c>
      <c r="F928" s="3"/>
      <c r="G928" s="14"/>
      <c r="H928" s="1"/>
    </row>
    <row r="929" spans="1:8">
      <c r="A929" s="2"/>
      <c r="B929" s="12"/>
      <c r="C929" s="2"/>
      <c r="D929" s="13"/>
      <c r="E929" s="8" t="str">
        <f>IF(C929="","",MAX(0,SUMIFS('CHIT REGISTER (ಮಾಸಿಕ ಚಿಟ್ ನೋಂದಣ'!$D$5:$D$502,'CHIT REGISTER (ಮಾಸಿಕ ಚಿಟ್ ನೋಂದಣ'!$F$5:$F$502,C929,'CHIT REGISTER (ಮಾಸಿಕ ಚಿಟ್ ನೋಂದಣ'!$G$5:$G$502,"UNPAID")-IF(F929="PAID",N(D929),0)))</f>
        <v/>
      </c>
      <c r="F929" s="4"/>
      <c r="G929" s="12"/>
      <c r="H929" s="2"/>
    </row>
    <row r="930" spans="1:8">
      <c r="A930" s="1"/>
      <c r="B930" s="14"/>
      <c r="C930" s="1"/>
      <c r="D930" s="15"/>
      <c r="E930" s="9" t="str">
        <f>IF(C930="","",MAX(0,SUMIFS('CHIT REGISTER (ಮಾಸಿಕ ಚಿಟ್ ನೋಂದಣ'!$D$5:$D$502,'CHIT REGISTER (ಮಾಸಿಕ ಚಿಟ್ ನೋಂದಣ'!$F$5:$F$502,C930,'CHIT REGISTER (ಮಾಸಿಕ ಚಿಟ್ ನೋಂದಣ'!$G$5:$G$502,"UNPAID")-IF(F930="PAID",N(D930),0)))</f>
        <v/>
      </c>
      <c r="F930" s="3"/>
      <c r="G930" s="14"/>
      <c r="H930" s="1"/>
    </row>
    <row r="931" spans="1:8">
      <c r="A931" s="2"/>
      <c r="B931" s="12"/>
      <c r="C931" s="2"/>
      <c r="D931" s="13"/>
      <c r="E931" s="8" t="str">
        <f>IF(C931="","",MAX(0,SUMIFS('CHIT REGISTER (ಮಾಸಿಕ ಚಿಟ್ ನೋಂದಣ'!$D$5:$D$502,'CHIT REGISTER (ಮಾಸಿಕ ಚಿಟ್ ನೋಂದಣ'!$F$5:$F$502,C931,'CHIT REGISTER (ಮಾಸಿಕ ಚಿಟ್ ನೋಂದಣ'!$G$5:$G$502,"UNPAID")-IF(F931="PAID",N(D931),0)))</f>
        <v/>
      </c>
      <c r="F931" s="4"/>
      <c r="G931" s="12"/>
      <c r="H931" s="2"/>
    </row>
    <row r="932" spans="1:8">
      <c r="A932" s="1"/>
      <c r="B932" s="14"/>
      <c r="C932" s="1"/>
      <c r="D932" s="15"/>
      <c r="E932" s="9" t="str">
        <f>IF(C932="","",MAX(0,SUMIFS('CHIT REGISTER (ಮಾಸಿಕ ಚಿಟ್ ನೋಂದಣ'!$D$5:$D$502,'CHIT REGISTER (ಮಾಸಿಕ ಚಿಟ್ ನೋಂದಣ'!$F$5:$F$502,C932,'CHIT REGISTER (ಮಾಸಿಕ ಚಿಟ್ ನೋಂದಣ'!$G$5:$G$502,"UNPAID")-IF(F932="PAID",N(D932),0)))</f>
        <v/>
      </c>
      <c r="F932" s="3"/>
      <c r="G932" s="14"/>
      <c r="H932" s="1"/>
    </row>
    <row r="933" spans="1:8">
      <c r="A933" s="2"/>
      <c r="B933" s="12"/>
      <c r="C933" s="2"/>
      <c r="D933" s="13"/>
      <c r="E933" s="8" t="str">
        <f>IF(C933="","",MAX(0,SUMIFS('CHIT REGISTER (ಮಾಸಿಕ ಚಿಟ್ ನೋಂದಣ'!$D$5:$D$502,'CHIT REGISTER (ಮಾಸಿಕ ಚಿಟ್ ನೋಂದಣ'!$F$5:$F$502,C933,'CHIT REGISTER (ಮಾಸಿಕ ಚಿಟ್ ನೋಂದಣ'!$G$5:$G$502,"UNPAID")-IF(F933="PAID",N(D933),0)))</f>
        <v/>
      </c>
      <c r="F933" s="4"/>
      <c r="G933" s="12"/>
      <c r="H933" s="2"/>
    </row>
    <row r="934" spans="1:8">
      <c r="A934" s="1"/>
      <c r="B934" s="14"/>
      <c r="C934" s="1"/>
      <c r="D934" s="15"/>
      <c r="E934" s="9" t="str">
        <f>IF(C934="","",MAX(0,SUMIFS('CHIT REGISTER (ಮಾಸಿಕ ಚಿಟ್ ನೋಂದಣ'!$D$5:$D$502,'CHIT REGISTER (ಮಾಸಿಕ ಚಿಟ್ ನೋಂದಣ'!$F$5:$F$502,C934,'CHIT REGISTER (ಮಾಸಿಕ ಚಿಟ್ ನೋಂದಣ'!$G$5:$G$502,"UNPAID")-IF(F934="PAID",N(D934),0)))</f>
        <v/>
      </c>
      <c r="F934" s="3"/>
      <c r="G934" s="14"/>
      <c r="H934" s="1"/>
    </row>
    <row r="935" spans="1:8">
      <c r="A935" s="2"/>
      <c r="B935" s="12"/>
      <c r="C935" s="2"/>
      <c r="D935" s="13"/>
      <c r="E935" s="8" t="str">
        <f>IF(C935="","",MAX(0,SUMIFS('CHIT REGISTER (ಮಾಸಿಕ ಚಿಟ್ ನೋಂದಣ'!$D$5:$D$502,'CHIT REGISTER (ಮಾಸಿಕ ಚಿಟ್ ನೋಂದಣ'!$F$5:$F$502,C935,'CHIT REGISTER (ಮಾಸಿಕ ಚಿಟ್ ನೋಂದಣ'!$G$5:$G$502,"UNPAID")-IF(F935="PAID",N(D935),0)))</f>
        <v/>
      </c>
      <c r="F935" s="4"/>
      <c r="G935" s="12"/>
      <c r="H935" s="2"/>
    </row>
    <row r="936" spans="1:8">
      <c r="A936" s="1"/>
      <c r="B936" s="14"/>
      <c r="C936" s="1"/>
      <c r="D936" s="15"/>
      <c r="E936" s="9" t="str">
        <f>IF(C936="","",MAX(0,SUMIFS('CHIT REGISTER (ಮಾಸಿಕ ಚಿಟ್ ನೋಂದಣ'!$D$5:$D$502,'CHIT REGISTER (ಮಾಸಿಕ ಚಿಟ್ ನೋಂದಣ'!$F$5:$F$502,C936,'CHIT REGISTER (ಮಾಸಿಕ ಚಿಟ್ ನೋಂದಣ'!$G$5:$G$502,"UNPAID")-IF(F936="PAID",N(D936),0)))</f>
        <v/>
      </c>
      <c r="F936" s="3"/>
      <c r="G936" s="14"/>
      <c r="H936" s="1"/>
    </row>
    <row r="937" spans="1:8">
      <c r="A937" s="2"/>
      <c r="B937" s="12"/>
      <c r="C937" s="2"/>
      <c r="D937" s="13"/>
      <c r="E937" s="8" t="str">
        <f>IF(C937="","",MAX(0,SUMIFS('CHIT REGISTER (ಮಾಸಿಕ ಚಿಟ್ ನೋಂದಣ'!$D$5:$D$502,'CHIT REGISTER (ಮಾಸಿಕ ಚಿಟ್ ನೋಂದಣ'!$F$5:$F$502,C937,'CHIT REGISTER (ಮಾಸಿಕ ಚಿಟ್ ನೋಂದಣ'!$G$5:$G$502,"UNPAID")-IF(F937="PAID",N(D937),0)))</f>
        <v/>
      </c>
      <c r="F937" s="4"/>
      <c r="G937" s="12"/>
      <c r="H937" s="2"/>
    </row>
    <row r="938" spans="1:8">
      <c r="A938" s="1"/>
      <c r="B938" s="14"/>
      <c r="C938" s="1"/>
      <c r="D938" s="15"/>
      <c r="E938" s="9" t="str">
        <f>IF(C938="","",MAX(0,SUMIFS('CHIT REGISTER (ಮಾಸಿಕ ಚಿಟ್ ನೋಂದಣ'!$D$5:$D$502,'CHIT REGISTER (ಮಾಸಿಕ ಚಿಟ್ ನೋಂದಣ'!$F$5:$F$502,C938,'CHIT REGISTER (ಮಾಸಿಕ ಚಿಟ್ ನೋಂದಣ'!$G$5:$G$502,"UNPAID")-IF(F938="PAID",N(D938),0)))</f>
        <v/>
      </c>
      <c r="F938" s="3"/>
      <c r="G938" s="14"/>
      <c r="H938" s="1"/>
    </row>
    <row r="939" spans="1:8">
      <c r="A939" s="2"/>
      <c r="B939" s="12"/>
      <c r="C939" s="2"/>
      <c r="D939" s="13"/>
      <c r="E939" s="8" t="str">
        <f>IF(C939="","",MAX(0,SUMIFS('CHIT REGISTER (ಮಾಸಿಕ ಚಿಟ್ ನೋಂದಣ'!$D$5:$D$502,'CHIT REGISTER (ಮಾಸಿಕ ಚಿಟ್ ನೋಂದಣ'!$F$5:$F$502,C939,'CHIT REGISTER (ಮಾಸಿಕ ಚಿಟ್ ನೋಂದಣ'!$G$5:$G$502,"UNPAID")-IF(F939="PAID",N(D939),0)))</f>
        <v/>
      </c>
      <c r="F939" s="4"/>
      <c r="G939" s="12"/>
      <c r="H939" s="2"/>
    </row>
    <row r="940" spans="1:8">
      <c r="A940" s="1"/>
      <c r="B940" s="14"/>
      <c r="C940" s="1"/>
      <c r="D940" s="15"/>
      <c r="E940" s="9" t="str">
        <f>IF(C940="","",MAX(0,SUMIFS('CHIT REGISTER (ಮಾಸಿಕ ಚಿಟ್ ನೋಂದಣ'!$D$5:$D$502,'CHIT REGISTER (ಮಾಸಿಕ ಚಿಟ್ ನೋಂದಣ'!$F$5:$F$502,C940,'CHIT REGISTER (ಮಾಸಿಕ ಚಿಟ್ ನೋಂದಣ'!$G$5:$G$502,"UNPAID")-IF(F940="PAID",N(D940),0)))</f>
        <v/>
      </c>
      <c r="F940" s="3"/>
      <c r="G940" s="14"/>
      <c r="H940" s="1"/>
    </row>
    <row r="941" spans="1:8">
      <c r="A941" s="2"/>
      <c r="B941" s="12"/>
      <c r="C941" s="2"/>
      <c r="D941" s="13"/>
      <c r="E941" s="8" t="str">
        <f>IF(C941="","",MAX(0,SUMIFS('CHIT REGISTER (ಮಾಸಿಕ ಚಿಟ್ ನೋಂದಣ'!$D$5:$D$502,'CHIT REGISTER (ಮಾಸಿಕ ಚಿಟ್ ನೋಂದಣ'!$F$5:$F$502,C941,'CHIT REGISTER (ಮಾಸಿಕ ಚಿಟ್ ನೋಂದಣ'!$G$5:$G$502,"UNPAID")-IF(F941="PAID",N(D941),0)))</f>
        <v/>
      </c>
      <c r="F941" s="4"/>
      <c r="G941" s="12"/>
      <c r="H941" s="2"/>
    </row>
    <row r="942" spans="1:8">
      <c r="A942" s="1"/>
      <c r="B942" s="14"/>
      <c r="C942" s="1"/>
      <c r="D942" s="15"/>
      <c r="E942" s="9" t="str">
        <f>IF(C942="","",MAX(0,SUMIFS('CHIT REGISTER (ಮಾಸಿಕ ಚಿಟ್ ನೋಂದಣ'!$D$5:$D$502,'CHIT REGISTER (ಮಾಸಿಕ ಚಿಟ್ ನೋಂದಣ'!$F$5:$F$502,C942,'CHIT REGISTER (ಮಾಸಿಕ ಚಿಟ್ ನೋಂದಣ'!$G$5:$G$502,"UNPAID")-IF(F942="PAID",N(D942),0)))</f>
        <v/>
      </c>
      <c r="F942" s="3"/>
      <c r="G942" s="14"/>
      <c r="H942" s="1"/>
    </row>
    <row r="943" spans="1:8">
      <c r="A943" s="2"/>
      <c r="B943" s="12"/>
      <c r="C943" s="2"/>
      <c r="D943" s="13"/>
      <c r="E943" s="8" t="str">
        <f>IF(C943="","",MAX(0,SUMIFS('CHIT REGISTER (ಮಾಸಿಕ ಚಿಟ್ ನೋಂದಣ'!$D$5:$D$502,'CHIT REGISTER (ಮಾಸಿಕ ಚಿಟ್ ನೋಂದಣ'!$F$5:$F$502,C943,'CHIT REGISTER (ಮಾಸಿಕ ಚಿಟ್ ನೋಂದಣ'!$G$5:$G$502,"UNPAID")-IF(F943="PAID",N(D943),0)))</f>
        <v/>
      </c>
      <c r="F943" s="4"/>
      <c r="G943" s="12"/>
      <c r="H943" s="2"/>
    </row>
    <row r="944" spans="1:8">
      <c r="A944" s="1"/>
      <c r="B944" s="14"/>
      <c r="C944" s="1"/>
      <c r="D944" s="15"/>
      <c r="E944" s="9" t="str">
        <f>IF(C944="","",MAX(0,SUMIFS('CHIT REGISTER (ಮಾಸಿಕ ಚಿಟ್ ನೋಂದಣ'!$D$5:$D$502,'CHIT REGISTER (ಮಾಸಿಕ ಚಿಟ್ ನೋಂದಣ'!$F$5:$F$502,C944,'CHIT REGISTER (ಮಾಸಿಕ ಚಿಟ್ ನೋಂದಣ'!$G$5:$G$502,"UNPAID")-IF(F944="PAID",N(D944),0)))</f>
        <v/>
      </c>
      <c r="F944" s="3"/>
      <c r="G944" s="14"/>
      <c r="H944" s="1"/>
    </row>
    <row r="945" spans="1:8">
      <c r="A945" s="2"/>
      <c r="B945" s="12"/>
      <c r="C945" s="2"/>
      <c r="D945" s="13"/>
      <c r="E945" s="8" t="str">
        <f>IF(C945="","",MAX(0,SUMIFS('CHIT REGISTER (ಮಾಸಿಕ ಚಿಟ್ ನೋಂದಣ'!$D$5:$D$502,'CHIT REGISTER (ಮಾಸಿಕ ಚಿಟ್ ನೋಂದಣ'!$F$5:$F$502,C945,'CHIT REGISTER (ಮಾಸಿಕ ಚಿಟ್ ನೋಂದಣ'!$G$5:$G$502,"UNPAID")-IF(F945="PAID",N(D945),0)))</f>
        <v/>
      </c>
      <c r="F945" s="4"/>
      <c r="G945" s="12"/>
      <c r="H945" s="2"/>
    </row>
    <row r="946" spans="1:8">
      <c r="A946" s="1"/>
      <c r="B946" s="14"/>
      <c r="C946" s="1"/>
      <c r="D946" s="15"/>
      <c r="E946" s="9" t="str">
        <f>IF(C946="","",MAX(0,SUMIFS('CHIT REGISTER (ಮಾಸಿಕ ಚಿಟ್ ನೋಂದಣ'!$D$5:$D$502,'CHIT REGISTER (ಮಾಸಿಕ ಚಿಟ್ ನೋಂದಣ'!$F$5:$F$502,C946,'CHIT REGISTER (ಮಾಸಿಕ ಚಿಟ್ ನೋಂದಣ'!$G$5:$G$502,"UNPAID")-IF(F946="PAID",N(D946),0)))</f>
        <v/>
      </c>
      <c r="F946" s="3"/>
      <c r="G946" s="14"/>
      <c r="H946" s="1"/>
    </row>
    <row r="947" spans="1:8">
      <c r="A947" s="2"/>
      <c r="B947" s="12"/>
      <c r="C947" s="2"/>
      <c r="D947" s="13"/>
      <c r="E947" s="8" t="str">
        <f>IF(C947="","",MAX(0,SUMIFS('CHIT REGISTER (ಮಾಸಿಕ ಚಿಟ್ ನೋಂದಣ'!$D$5:$D$502,'CHIT REGISTER (ಮಾಸಿಕ ಚಿಟ್ ನೋಂದಣ'!$F$5:$F$502,C947,'CHIT REGISTER (ಮಾಸಿಕ ಚಿಟ್ ನೋಂದಣ'!$G$5:$G$502,"UNPAID")-IF(F947="PAID",N(D947),0)))</f>
        <v/>
      </c>
      <c r="F947" s="4"/>
      <c r="G947" s="12"/>
      <c r="H947" s="2"/>
    </row>
    <row r="948" spans="1:8">
      <c r="A948" s="1"/>
      <c r="B948" s="14"/>
      <c r="C948" s="1"/>
      <c r="D948" s="15"/>
      <c r="E948" s="9" t="str">
        <f>IF(C948="","",MAX(0,SUMIFS('CHIT REGISTER (ಮಾಸಿಕ ಚಿಟ್ ನೋಂದಣ'!$D$5:$D$502,'CHIT REGISTER (ಮಾಸಿಕ ಚಿಟ್ ನೋಂದಣ'!$F$5:$F$502,C948,'CHIT REGISTER (ಮಾಸಿಕ ಚಿಟ್ ನೋಂದಣ'!$G$5:$G$502,"UNPAID")-IF(F948="PAID",N(D948),0)))</f>
        <v/>
      </c>
      <c r="F948" s="3"/>
      <c r="G948" s="14"/>
      <c r="H948" s="1"/>
    </row>
    <row r="949" spans="1:8">
      <c r="A949" s="2"/>
      <c r="B949" s="12"/>
      <c r="C949" s="2"/>
      <c r="D949" s="13"/>
      <c r="E949" s="8" t="str">
        <f>IF(C949="","",MAX(0,SUMIFS('CHIT REGISTER (ಮಾಸಿಕ ಚಿಟ್ ನೋಂದಣ'!$D$5:$D$502,'CHIT REGISTER (ಮಾಸಿಕ ಚಿಟ್ ನೋಂದಣ'!$F$5:$F$502,C949,'CHIT REGISTER (ಮಾಸಿಕ ಚಿಟ್ ನೋಂದಣ'!$G$5:$G$502,"UNPAID")-IF(F949="PAID",N(D949),0)))</f>
        <v/>
      </c>
      <c r="F949" s="4"/>
      <c r="G949" s="12"/>
      <c r="H949" s="2"/>
    </row>
    <row r="950" spans="1:8">
      <c r="A950" s="1"/>
      <c r="B950" s="14"/>
      <c r="C950" s="1"/>
      <c r="D950" s="15"/>
      <c r="E950" s="9" t="str">
        <f>IF(C950="","",MAX(0,SUMIFS('CHIT REGISTER (ಮಾಸಿಕ ಚಿಟ್ ನೋಂದಣ'!$D$5:$D$502,'CHIT REGISTER (ಮಾಸಿಕ ಚಿಟ್ ನೋಂದಣ'!$F$5:$F$502,C950,'CHIT REGISTER (ಮಾಸಿಕ ಚಿಟ್ ನೋಂದಣ'!$G$5:$G$502,"UNPAID")-IF(F950="PAID",N(D950),0)))</f>
        <v/>
      </c>
      <c r="F950" s="3"/>
      <c r="G950" s="14"/>
      <c r="H950" s="1"/>
    </row>
    <row r="951" spans="1:8">
      <c r="A951" s="2"/>
      <c r="B951" s="12"/>
      <c r="C951" s="2"/>
      <c r="D951" s="13"/>
      <c r="E951" s="8" t="str">
        <f>IF(C951="","",MAX(0,SUMIFS('CHIT REGISTER (ಮಾಸಿಕ ಚಿಟ್ ನೋಂದಣ'!$D$5:$D$502,'CHIT REGISTER (ಮಾಸಿಕ ಚಿಟ್ ನೋಂದಣ'!$F$5:$F$502,C951,'CHIT REGISTER (ಮಾಸಿಕ ಚಿಟ್ ನೋಂದಣ'!$G$5:$G$502,"UNPAID")-IF(F951="PAID",N(D951),0)))</f>
        <v/>
      </c>
      <c r="F951" s="4"/>
      <c r="G951" s="12"/>
      <c r="H951" s="2"/>
    </row>
    <row r="952" spans="1:8">
      <c r="A952" s="1"/>
      <c r="B952" s="14"/>
      <c r="C952" s="1"/>
      <c r="D952" s="15"/>
      <c r="E952" s="9" t="str">
        <f>IF(C952="","",MAX(0,SUMIFS('CHIT REGISTER (ಮಾಸಿಕ ಚಿಟ್ ನೋಂದಣ'!$D$5:$D$502,'CHIT REGISTER (ಮಾಸಿಕ ಚಿಟ್ ನೋಂದಣ'!$F$5:$F$502,C952,'CHIT REGISTER (ಮಾಸಿಕ ಚಿಟ್ ನೋಂದಣ'!$G$5:$G$502,"UNPAID")-IF(F952="PAID",N(D952),0)))</f>
        <v/>
      </c>
      <c r="F952" s="3"/>
      <c r="G952" s="14"/>
      <c r="H952" s="1"/>
    </row>
    <row r="953" spans="1:8">
      <c r="A953" s="2"/>
      <c r="B953" s="12"/>
      <c r="C953" s="2"/>
      <c r="D953" s="13"/>
      <c r="E953" s="8" t="str">
        <f>IF(C953="","",MAX(0,SUMIFS('CHIT REGISTER (ಮಾಸಿಕ ಚಿಟ್ ನೋಂದಣ'!$D$5:$D$502,'CHIT REGISTER (ಮಾಸಿಕ ಚಿಟ್ ನೋಂದಣ'!$F$5:$F$502,C953,'CHIT REGISTER (ಮಾಸಿಕ ಚಿಟ್ ನೋಂದಣ'!$G$5:$G$502,"UNPAID")-IF(F953="PAID",N(D953),0)))</f>
        <v/>
      </c>
      <c r="F953" s="4"/>
      <c r="G953" s="12"/>
      <c r="H953" s="2"/>
    </row>
    <row r="954" spans="1:8">
      <c r="A954" s="1"/>
      <c r="B954" s="14"/>
      <c r="C954" s="1"/>
      <c r="D954" s="15"/>
      <c r="E954" s="9" t="str">
        <f>IF(C954="","",MAX(0,SUMIFS('CHIT REGISTER (ಮಾಸಿಕ ಚಿಟ್ ನೋಂದಣ'!$D$5:$D$502,'CHIT REGISTER (ಮಾಸಿಕ ಚಿಟ್ ನೋಂದಣ'!$F$5:$F$502,C954,'CHIT REGISTER (ಮಾಸಿಕ ಚಿಟ್ ನೋಂದಣ'!$G$5:$G$502,"UNPAID")-IF(F954="PAID",N(D954),0)))</f>
        <v/>
      </c>
      <c r="F954" s="3"/>
      <c r="G954" s="14"/>
      <c r="H954" s="1"/>
    </row>
    <row r="955" spans="1:8">
      <c r="A955" s="2"/>
      <c r="B955" s="12"/>
      <c r="C955" s="2"/>
      <c r="D955" s="13"/>
      <c r="E955" s="8" t="str">
        <f>IF(C955="","",MAX(0,SUMIFS('CHIT REGISTER (ಮಾಸಿಕ ಚಿಟ್ ನೋಂದಣ'!$D$5:$D$502,'CHIT REGISTER (ಮಾಸಿಕ ಚಿಟ್ ನೋಂದಣ'!$F$5:$F$502,C955,'CHIT REGISTER (ಮಾಸಿಕ ಚಿಟ್ ನೋಂದಣ'!$G$5:$G$502,"UNPAID")-IF(F955="PAID",N(D955),0)))</f>
        <v/>
      </c>
      <c r="F955" s="4"/>
      <c r="G955" s="12"/>
      <c r="H955" s="2"/>
    </row>
    <row r="956" spans="1:8">
      <c r="A956" s="1"/>
      <c r="B956" s="14"/>
      <c r="C956" s="1"/>
      <c r="D956" s="15"/>
      <c r="E956" s="9" t="str">
        <f>IF(C956="","",MAX(0,SUMIFS('CHIT REGISTER (ಮಾಸಿಕ ಚಿಟ್ ನೋಂದಣ'!$D$5:$D$502,'CHIT REGISTER (ಮಾಸಿಕ ಚಿಟ್ ನೋಂದಣ'!$F$5:$F$502,C956,'CHIT REGISTER (ಮಾಸಿಕ ಚಿಟ್ ನೋಂದಣ'!$G$5:$G$502,"UNPAID")-IF(F956="PAID",N(D956),0)))</f>
        <v/>
      </c>
      <c r="F956" s="3"/>
      <c r="G956" s="14"/>
      <c r="H956" s="1"/>
    </row>
    <row r="957" spans="1:8">
      <c r="A957" s="2"/>
      <c r="B957" s="12"/>
      <c r="C957" s="2"/>
      <c r="D957" s="13"/>
      <c r="E957" s="8" t="str">
        <f>IF(C957="","",MAX(0,SUMIFS('CHIT REGISTER (ಮಾಸಿಕ ಚಿಟ್ ನೋಂದಣ'!$D$5:$D$502,'CHIT REGISTER (ಮಾಸಿಕ ಚಿಟ್ ನೋಂದಣ'!$F$5:$F$502,C957,'CHIT REGISTER (ಮಾಸಿಕ ಚಿಟ್ ನೋಂದಣ'!$G$5:$G$502,"UNPAID")-IF(F957="PAID",N(D957),0)))</f>
        <v/>
      </c>
      <c r="F957" s="4"/>
      <c r="G957" s="12"/>
      <c r="H957" s="2"/>
    </row>
    <row r="958" spans="1:8">
      <c r="A958" s="1"/>
      <c r="B958" s="14"/>
      <c r="C958" s="1"/>
      <c r="D958" s="15"/>
      <c r="E958" s="9" t="str">
        <f>IF(C958="","",MAX(0,SUMIFS('CHIT REGISTER (ಮಾಸಿಕ ಚಿಟ್ ನೋಂದಣ'!$D$5:$D$502,'CHIT REGISTER (ಮಾಸಿಕ ಚಿಟ್ ನೋಂದಣ'!$F$5:$F$502,C958,'CHIT REGISTER (ಮಾಸಿಕ ಚಿಟ್ ನೋಂದಣ'!$G$5:$G$502,"UNPAID")-IF(F958="PAID",N(D958),0)))</f>
        <v/>
      </c>
      <c r="F958" s="3"/>
      <c r="G958" s="14"/>
      <c r="H958" s="1"/>
    </row>
    <row r="959" spans="1:8">
      <c r="A959" s="2"/>
      <c r="B959" s="12"/>
      <c r="C959" s="2"/>
      <c r="D959" s="13"/>
      <c r="E959" s="8" t="str">
        <f>IF(C959="","",MAX(0,SUMIFS('CHIT REGISTER (ಮಾಸಿಕ ಚಿಟ್ ನೋಂದಣ'!$D$5:$D$502,'CHIT REGISTER (ಮಾಸಿಕ ಚಿಟ್ ನೋಂದಣ'!$F$5:$F$502,C959,'CHIT REGISTER (ಮಾಸಿಕ ಚಿಟ್ ನೋಂದಣ'!$G$5:$G$502,"UNPAID")-IF(F959="PAID",N(D959),0)))</f>
        <v/>
      </c>
      <c r="F959" s="4"/>
      <c r="G959" s="12"/>
      <c r="H959" s="2"/>
    </row>
    <row r="960" spans="1:8">
      <c r="A960" s="1"/>
      <c r="B960" s="14"/>
      <c r="C960" s="1"/>
      <c r="D960" s="15"/>
      <c r="E960" s="9" t="str">
        <f>IF(C960="","",MAX(0,SUMIFS('CHIT REGISTER (ಮಾಸಿಕ ಚಿಟ್ ನೋಂದಣ'!$D$5:$D$502,'CHIT REGISTER (ಮಾಸಿಕ ಚಿಟ್ ನೋಂದಣ'!$F$5:$F$502,C960,'CHIT REGISTER (ಮಾಸಿಕ ಚಿಟ್ ನೋಂದಣ'!$G$5:$G$502,"UNPAID")-IF(F960="PAID",N(D960),0)))</f>
        <v/>
      </c>
      <c r="F960" s="3"/>
      <c r="G960" s="14"/>
      <c r="H960" s="1"/>
    </row>
    <row r="961" spans="1:8">
      <c r="A961" s="2"/>
      <c r="B961" s="12"/>
      <c r="C961" s="2"/>
      <c r="D961" s="13"/>
      <c r="E961" s="8" t="str">
        <f>IF(C961="","",MAX(0,SUMIFS('CHIT REGISTER (ಮಾಸಿಕ ಚಿಟ್ ನೋಂದಣ'!$D$5:$D$502,'CHIT REGISTER (ಮಾಸಿಕ ಚಿಟ್ ನೋಂದಣ'!$F$5:$F$502,C961,'CHIT REGISTER (ಮಾಸಿಕ ಚಿಟ್ ನೋಂದಣ'!$G$5:$G$502,"UNPAID")-IF(F961="PAID",N(D961),0)))</f>
        <v/>
      </c>
      <c r="F961" s="4"/>
      <c r="G961" s="12"/>
      <c r="H961" s="2"/>
    </row>
    <row r="962" spans="1:8">
      <c r="A962" s="1"/>
      <c r="B962" s="14"/>
      <c r="C962" s="1"/>
      <c r="D962" s="15"/>
      <c r="E962" s="9" t="str">
        <f>IF(C962="","",MAX(0,SUMIFS('CHIT REGISTER (ಮಾಸಿಕ ಚಿಟ್ ನೋಂದಣ'!$D$5:$D$502,'CHIT REGISTER (ಮಾಸಿಕ ಚಿಟ್ ನೋಂದಣ'!$F$5:$F$502,C962,'CHIT REGISTER (ಮಾಸಿಕ ಚಿಟ್ ನೋಂದಣ'!$G$5:$G$502,"UNPAID")-IF(F962="PAID",N(D962),0)))</f>
        <v/>
      </c>
      <c r="F962" s="3"/>
      <c r="G962" s="14"/>
      <c r="H962" s="1"/>
    </row>
    <row r="963" spans="1:8">
      <c r="A963" s="2"/>
      <c r="B963" s="12"/>
      <c r="C963" s="2"/>
      <c r="D963" s="13"/>
      <c r="E963" s="8" t="str">
        <f>IF(C963="","",MAX(0,SUMIFS('CHIT REGISTER (ಮಾಸಿಕ ಚಿಟ್ ನೋಂದಣ'!$D$5:$D$502,'CHIT REGISTER (ಮಾಸಿಕ ಚಿಟ್ ನೋಂದಣ'!$F$5:$F$502,C963,'CHIT REGISTER (ಮಾಸಿಕ ಚಿಟ್ ನೋಂದಣ'!$G$5:$G$502,"UNPAID")-IF(F963="PAID",N(D963),0)))</f>
        <v/>
      </c>
      <c r="F963" s="4"/>
      <c r="G963" s="12"/>
      <c r="H963" s="2"/>
    </row>
    <row r="964" spans="1:8">
      <c r="A964" s="1"/>
      <c r="B964" s="14"/>
      <c r="C964" s="1"/>
      <c r="D964" s="15"/>
      <c r="E964" s="9" t="str">
        <f>IF(C964="","",MAX(0,SUMIFS('CHIT REGISTER (ಮಾಸಿಕ ಚಿಟ್ ನೋಂದಣ'!$D$5:$D$502,'CHIT REGISTER (ಮಾಸಿಕ ಚಿಟ್ ನೋಂದಣ'!$F$5:$F$502,C964,'CHIT REGISTER (ಮಾಸಿಕ ಚಿಟ್ ನೋಂದಣ'!$G$5:$G$502,"UNPAID")-IF(F964="PAID",N(D964),0)))</f>
        <v/>
      </c>
      <c r="F964" s="3"/>
      <c r="G964" s="14"/>
      <c r="H964" s="1"/>
    </row>
    <row r="965" spans="1:8">
      <c r="A965" s="2"/>
      <c r="B965" s="12"/>
      <c r="C965" s="2"/>
      <c r="D965" s="13"/>
      <c r="E965" s="8" t="str">
        <f>IF(C965="","",MAX(0,SUMIFS('CHIT REGISTER (ಮಾಸಿಕ ಚಿಟ್ ನೋಂದಣ'!$D$5:$D$502,'CHIT REGISTER (ಮಾಸಿಕ ಚಿಟ್ ನೋಂದಣ'!$F$5:$F$502,C965,'CHIT REGISTER (ಮಾಸಿಕ ಚಿಟ್ ನೋಂದಣ'!$G$5:$G$502,"UNPAID")-IF(F965="PAID",N(D965),0)))</f>
        <v/>
      </c>
      <c r="F965" s="4"/>
      <c r="G965" s="12"/>
      <c r="H965" s="2"/>
    </row>
    <row r="966" spans="1:8">
      <c r="A966" s="1"/>
      <c r="B966" s="14"/>
      <c r="C966" s="1"/>
      <c r="D966" s="15"/>
      <c r="E966" s="9" t="str">
        <f>IF(C966="","",MAX(0,SUMIFS('CHIT REGISTER (ಮಾಸಿಕ ಚಿಟ್ ನೋಂದಣ'!$D$5:$D$502,'CHIT REGISTER (ಮಾಸಿಕ ಚಿಟ್ ನೋಂದಣ'!$F$5:$F$502,C966,'CHIT REGISTER (ಮಾಸಿಕ ಚಿಟ್ ನೋಂದಣ'!$G$5:$G$502,"UNPAID")-IF(F966="PAID",N(D966),0)))</f>
        <v/>
      </c>
      <c r="F966" s="3"/>
      <c r="G966" s="14"/>
      <c r="H966" s="1"/>
    </row>
    <row r="967" spans="1:8">
      <c r="A967" s="2"/>
      <c r="B967" s="12"/>
      <c r="C967" s="2"/>
      <c r="D967" s="13"/>
      <c r="E967" s="8" t="str">
        <f>IF(C967="","",MAX(0,SUMIFS('CHIT REGISTER (ಮಾಸಿಕ ಚಿಟ್ ನೋಂದಣ'!$D$5:$D$502,'CHIT REGISTER (ಮಾಸಿಕ ಚಿಟ್ ನೋಂದಣ'!$F$5:$F$502,C967,'CHIT REGISTER (ಮಾಸಿಕ ಚಿಟ್ ನೋಂದಣ'!$G$5:$G$502,"UNPAID")-IF(F967="PAID",N(D967),0)))</f>
        <v/>
      </c>
      <c r="F967" s="4"/>
      <c r="G967" s="12"/>
      <c r="H967" s="2"/>
    </row>
    <row r="968" spans="1:8">
      <c r="A968" s="1"/>
      <c r="B968" s="14"/>
      <c r="C968" s="1"/>
      <c r="D968" s="15"/>
      <c r="E968" s="9" t="str">
        <f>IF(C968="","",MAX(0,SUMIFS('CHIT REGISTER (ಮಾಸಿಕ ಚಿಟ್ ನೋಂದಣ'!$D$5:$D$502,'CHIT REGISTER (ಮಾಸಿಕ ಚಿಟ್ ನೋಂದಣ'!$F$5:$F$502,C968,'CHIT REGISTER (ಮಾಸಿಕ ಚಿಟ್ ನೋಂದಣ'!$G$5:$G$502,"UNPAID")-IF(F968="PAID",N(D968),0)))</f>
        <v/>
      </c>
      <c r="F968" s="3"/>
      <c r="G968" s="14"/>
      <c r="H968" s="1"/>
    </row>
    <row r="969" spans="1:8">
      <c r="A969" s="2"/>
      <c r="B969" s="12"/>
      <c r="C969" s="2"/>
      <c r="D969" s="13"/>
      <c r="E969" s="8" t="str">
        <f>IF(C969="","",MAX(0,SUMIFS('CHIT REGISTER (ಮಾಸಿಕ ಚಿಟ್ ನೋಂದಣ'!$D$5:$D$502,'CHIT REGISTER (ಮಾಸಿಕ ಚಿಟ್ ನೋಂದಣ'!$F$5:$F$502,C969,'CHIT REGISTER (ಮಾಸಿಕ ಚಿಟ್ ನೋಂದಣ'!$G$5:$G$502,"UNPAID")-IF(F969="PAID",N(D969),0)))</f>
        <v/>
      </c>
      <c r="F969" s="4"/>
      <c r="G969" s="12"/>
      <c r="H969" s="2"/>
    </row>
    <row r="970" spans="1:8">
      <c r="A970" s="1"/>
      <c r="B970" s="14"/>
      <c r="C970" s="1"/>
      <c r="D970" s="15"/>
      <c r="E970" s="9" t="str">
        <f>IF(C970="","",MAX(0,SUMIFS('CHIT REGISTER (ಮಾಸಿಕ ಚಿಟ್ ನೋಂದಣ'!$D$5:$D$502,'CHIT REGISTER (ಮಾಸಿಕ ಚಿಟ್ ನೋಂದಣ'!$F$5:$F$502,C970,'CHIT REGISTER (ಮಾಸಿಕ ಚಿಟ್ ನೋಂದಣ'!$G$5:$G$502,"UNPAID")-IF(F970="PAID",N(D970),0)))</f>
        <v/>
      </c>
      <c r="F970" s="3"/>
      <c r="G970" s="14"/>
      <c r="H970" s="1"/>
    </row>
    <row r="971" spans="1:8">
      <c r="A971" s="2"/>
      <c r="B971" s="12"/>
      <c r="C971" s="2"/>
      <c r="D971" s="13"/>
      <c r="E971" s="8" t="str">
        <f>IF(C971="","",MAX(0,SUMIFS('CHIT REGISTER (ಮಾಸಿಕ ಚಿಟ್ ನೋಂದಣ'!$D$5:$D$502,'CHIT REGISTER (ಮಾಸಿಕ ಚಿಟ್ ನೋಂದಣ'!$F$5:$F$502,C971,'CHIT REGISTER (ಮಾಸಿಕ ಚಿಟ್ ನೋಂದಣ'!$G$5:$G$502,"UNPAID")-IF(F971="PAID",N(D971),0)))</f>
        <v/>
      </c>
      <c r="F971" s="4"/>
      <c r="G971" s="12"/>
      <c r="H971" s="2"/>
    </row>
    <row r="972" spans="1:8">
      <c r="A972" s="1"/>
      <c r="B972" s="14"/>
      <c r="C972" s="1"/>
      <c r="D972" s="15"/>
      <c r="E972" s="9" t="str">
        <f>IF(C972="","",MAX(0,SUMIFS('CHIT REGISTER (ಮಾಸಿಕ ಚಿಟ್ ನೋಂದಣ'!$D$5:$D$502,'CHIT REGISTER (ಮಾಸಿಕ ಚಿಟ್ ನೋಂದಣ'!$F$5:$F$502,C972,'CHIT REGISTER (ಮಾಸಿಕ ಚಿಟ್ ನೋಂದಣ'!$G$5:$G$502,"UNPAID")-IF(F972="PAID",N(D972),0)))</f>
        <v/>
      </c>
      <c r="F972" s="3"/>
      <c r="G972" s="14"/>
      <c r="H972" s="1"/>
    </row>
    <row r="973" spans="1:8">
      <c r="A973" s="2"/>
      <c r="B973" s="12"/>
      <c r="C973" s="2"/>
      <c r="D973" s="13"/>
      <c r="E973" s="8" t="str">
        <f>IF(C973="","",MAX(0,SUMIFS('CHIT REGISTER (ಮಾಸಿಕ ಚಿಟ್ ನೋಂದಣ'!$D$5:$D$502,'CHIT REGISTER (ಮಾಸಿಕ ಚಿಟ್ ನೋಂದಣ'!$F$5:$F$502,C973,'CHIT REGISTER (ಮಾಸಿಕ ಚಿಟ್ ನೋಂದಣ'!$G$5:$G$502,"UNPAID")-IF(F973="PAID",N(D973),0)))</f>
        <v/>
      </c>
      <c r="F973" s="4"/>
      <c r="G973" s="12"/>
      <c r="H973" s="2"/>
    </row>
    <row r="974" spans="1:8">
      <c r="A974" s="1"/>
      <c r="B974" s="14"/>
      <c r="C974" s="1"/>
      <c r="D974" s="15"/>
      <c r="E974" s="9" t="str">
        <f>IF(C974="","",MAX(0,SUMIFS('CHIT REGISTER (ಮಾಸಿಕ ಚಿಟ್ ನೋಂದಣ'!$D$5:$D$502,'CHIT REGISTER (ಮಾಸಿಕ ಚಿಟ್ ನೋಂದಣ'!$F$5:$F$502,C974,'CHIT REGISTER (ಮಾಸಿಕ ಚಿಟ್ ನೋಂದಣ'!$G$5:$G$502,"UNPAID")-IF(F974="PAID",N(D974),0)))</f>
        <v/>
      </c>
      <c r="F974" s="3"/>
      <c r="G974" s="14"/>
      <c r="H974" s="1"/>
    </row>
    <row r="975" spans="1:8">
      <c r="A975" s="2"/>
      <c r="B975" s="12"/>
      <c r="C975" s="2"/>
      <c r="D975" s="13"/>
      <c r="E975" s="8" t="str">
        <f>IF(C975="","",MAX(0,SUMIFS('CHIT REGISTER (ಮಾಸಿಕ ಚಿಟ್ ನೋಂದಣ'!$D$5:$D$502,'CHIT REGISTER (ಮಾಸಿಕ ಚಿಟ್ ನೋಂದಣ'!$F$5:$F$502,C975,'CHIT REGISTER (ಮಾಸಿಕ ಚಿಟ್ ನೋಂದಣ'!$G$5:$G$502,"UNPAID")-IF(F975="PAID",N(D975),0)))</f>
        <v/>
      </c>
      <c r="F975" s="4"/>
      <c r="G975" s="12"/>
      <c r="H975" s="2"/>
    </row>
    <row r="976" spans="1:8">
      <c r="A976" s="1"/>
      <c r="B976" s="14"/>
      <c r="C976" s="1"/>
      <c r="D976" s="15"/>
      <c r="E976" s="9" t="str">
        <f>IF(C976="","",MAX(0,SUMIFS('CHIT REGISTER (ಮಾಸಿಕ ಚಿಟ್ ನೋಂದಣ'!$D$5:$D$502,'CHIT REGISTER (ಮಾಸಿಕ ಚಿಟ್ ನೋಂದಣ'!$F$5:$F$502,C976,'CHIT REGISTER (ಮಾಸಿಕ ಚಿಟ್ ನೋಂದಣ'!$G$5:$G$502,"UNPAID")-IF(F976="PAID",N(D976),0)))</f>
        <v/>
      </c>
      <c r="F976" s="3"/>
      <c r="G976" s="14"/>
      <c r="H976" s="1"/>
    </row>
    <row r="977" spans="1:8">
      <c r="A977" s="2"/>
      <c r="B977" s="12"/>
      <c r="C977" s="2"/>
      <c r="D977" s="13"/>
      <c r="E977" s="8" t="str">
        <f>IF(C977="","",MAX(0,SUMIFS('CHIT REGISTER (ಮಾಸಿಕ ಚಿಟ್ ನೋಂದಣ'!$D$5:$D$502,'CHIT REGISTER (ಮಾಸಿಕ ಚಿಟ್ ನೋಂದಣ'!$F$5:$F$502,C977,'CHIT REGISTER (ಮಾಸಿಕ ಚಿಟ್ ನೋಂದಣ'!$G$5:$G$502,"UNPAID")-IF(F977="PAID",N(D977),0)))</f>
        <v/>
      </c>
      <c r="F977" s="4"/>
      <c r="G977" s="12"/>
      <c r="H977" s="2"/>
    </row>
    <row r="978" spans="1:8">
      <c r="A978" s="1"/>
      <c r="B978" s="14"/>
      <c r="C978" s="1"/>
      <c r="D978" s="15"/>
      <c r="E978" s="9" t="str">
        <f>IF(C978="","",MAX(0,SUMIFS('CHIT REGISTER (ಮಾಸಿಕ ಚಿಟ್ ನೋಂದಣ'!$D$5:$D$502,'CHIT REGISTER (ಮಾಸಿಕ ಚಿಟ್ ನೋಂದಣ'!$F$5:$F$502,C978,'CHIT REGISTER (ಮಾಸಿಕ ಚಿಟ್ ನೋಂದಣ'!$G$5:$G$502,"UNPAID")-IF(F978="PAID",N(D978),0)))</f>
        <v/>
      </c>
      <c r="F978" s="3"/>
      <c r="G978" s="14"/>
      <c r="H978" s="1"/>
    </row>
    <row r="979" spans="1:8">
      <c r="A979" s="2"/>
      <c r="B979" s="12"/>
      <c r="C979" s="2"/>
      <c r="D979" s="13"/>
      <c r="E979" s="8" t="str">
        <f>IF(C979="","",MAX(0,SUMIFS('CHIT REGISTER (ಮಾಸಿಕ ಚಿಟ್ ನೋಂದಣ'!$D$5:$D$502,'CHIT REGISTER (ಮಾಸಿಕ ಚಿಟ್ ನೋಂದಣ'!$F$5:$F$502,C979,'CHIT REGISTER (ಮಾಸಿಕ ಚಿಟ್ ನೋಂದಣ'!$G$5:$G$502,"UNPAID")-IF(F979="PAID",N(D979),0)))</f>
        <v/>
      </c>
      <c r="F979" s="4"/>
      <c r="G979" s="12"/>
      <c r="H979" s="2"/>
    </row>
    <row r="980" spans="1:8">
      <c r="A980" s="1"/>
      <c r="B980" s="14"/>
      <c r="C980" s="1"/>
      <c r="D980" s="15"/>
      <c r="E980" s="9" t="str">
        <f>IF(C980="","",MAX(0,SUMIFS('CHIT REGISTER (ಮಾಸಿಕ ಚಿಟ್ ನೋಂದಣ'!$D$5:$D$502,'CHIT REGISTER (ಮಾಸಿಕ ಚಿಟ್ ನೋಂದಣ'!$F$5:$F$502,C980,'CHIT REGISTER (ಮಾಸಿಕ ಚಿಟ್ ನೋಂದಣ'!$G$5:$G$502,"UNPAID")-IF(F980="PAID",N(D980),0)))</f>
        <v/>
      </c>
      <c r="F980" s="3"/>
      <c r="G980" s="14"/>
      <c r="H980" s="1"/>
    </row>
    <row r="981" spans="1:8">
      <c r="A981" s="2"/>
      <c r="B981" s="12"/>
      <c r="C981" s="2"/>
      <c r="D981" s="13"/>
      <c r="E981" s="8" t="str">
        <f>IF(C981="","",MAX(0,SUMIFS('CHIT REGISTER (ಮಾಸಿಕ ಚಿಟ್ ನೋಂದಣ'!$D$5:$D$502,'CHIT REGISTER (ಮಾಸಿಕ ಚಿಟ್ ನೋಂದಣ'!$F$5:$F$502,C981,'CHIT REGISTER (ಮಾಸಿಕ ಚಿಟ್ ನೋಂದಣ'!$G$5:$G$502,"UNPAID")-IF(F981="PAID",N(D981),0)))</f>
        <v/>
      </c>
      <c r="F981" s="4"/>
      <c r="G981" s="12"/>
      <c r="H981" s="2"/>
    </row>
    <row r="982" spans="1:8">
      <c r="A982" s="1"/>
      <c r="B982" s="14"/>
      <c r="C982" s="1"/>
      <c r="D982" s="15"/>
      <c r="E982" s="9" t="str">
        <f>IF(C982="","",MAX(0,SUMIFS('CHIT REGISTER (ಮಾಸಿಕ ಚಿಟ್ ನೋಂದಣ'!$D$5:$D$502,'CHIT REGISTER (ಮಾಸಿಕ ಚಿಟ್ ನೋಂದಣ'!$F$5:$F$502,C982,'CHIT REGISTER (ಮಾಸಿಕ ಚಿಟ್ ನೋಂದಣ'!$G$5:$G$502,"UNPAID")-IF(F982="PAID",N(D982),0)))</f>
        <v/>
      </c>
      <c r="F982" s="3"/>
      <c r="G982" s="14"/>
      <c r="H982" s="1"/>
    </row>
    <row r="983" spans="1:8">
      <c r="A983" s="2"/>
      <c r="B983" s="12"/>
      <c r="C983" s="2"/>
      <c r="D983" s="13"/>
      <c r="E983" s="8" t="str">
        <f>IF(C983="","",MAX(0,SUMIFS('CHIT REGISTER (ಮಾಸಿಕ ಚಿಟ್ ನೋಂದಣ'!$D$5:$D$502,'CHIT REGISTER (ಮಾಸಿಕ ಚಿಟ್ ನೋಂದಣ'!$F$5:$F$502,C983,'CHIT REGISTER (ಮಾಸಿಕ ಚಿಟ್ ನೋಂದಣ'!$G$5:$G$502,"UNPAID")-IF(F983="PAID",N(D983),0)))</f>
        <v/>
      </c>
      <c r="F983" s="4"/>
      <c r="G983" s="12"/>
      <c r="H983" s="2"/>
    </row>
    <row r="984" spans="1:8">
      <c r="A984" s="1"/>
      <c r="B984" s="14"/>
      <c r="C984" s="1"/>
      <c r="D984" s="15"/>
      <c r="E984" s="9" t="str">
        <f>IF(C984="","",MAX(0,SUMIFS('CHIT REGISTER (ಮಾಸಿಕ ಚಿಟ್ ನೋಂದಣ'!$D$5:$D$502,'CHIT REGISTER (ಮಾಸಿಕ ಚಿಟ್ ನೋಂದಣ'!$F$5:$F$502,C984,'CHIT REGISTER (ಮಾಸಿಕ ಚಿಟ್ ನೋಂದಣ'!$G$5:$G$502,"UNPAID")-IF(F984="PAID",N(D984),0)))</f>
        <v/>
      </c>
      <c r="F984" s="3"/>
      <c r="G984" s="14"/>
      <c r="H984" s="1"/>
    </row>
    <row r="985" spans="1:8">
      <c r="A985" s="2"/>
      <c r="B985" s="12"/>
      <c r="C985" s="2"/>
      <c r="D985" s="13"/>
      <c r="E985" s="8" t="str">
        <f>IF(C985="","",MAX(0,SUMIFS('CHIT REGISTER (ಮಾಸಿಕ ಚಿಟ್ ನೋಂದಣ'!$D$5:$D$502,'CHIT REGISTER (ಮಾಸಿಕ ಚಿಟ್ ನೋಂದಣ'!$F$5:$F$502,C985,'CHIT REGISTER (ಮಾಸಿಕ ಚಿಟ್ ನೋಂದಣ'!$G$5:$G$502,"UNPAID")-IF(F985="PAID",N(D985),0)))</f>
        <v/>
      </c>
      <c r="F985" s="4"/>
      <c r="G985" s="12"/>
      <c r="H985" s="2"/>
    </row>
    <row r="986" spans="1:8">
      <c r="A986" s="1"/>
      <c r="B986" s="14"/>
      <c r="C986" s="1"/>
      <c r="D986" s="15"/>
      <c r="E986" s="9" t="str">
        <f>IF(C986="","",MAX(0,SUMIFS('CHIT REGISTER (ಮಾಸಿಕ ಚಿಟ್ ನೋಂದಣ'!$D$5:$D$502,'CHIT REGISTER (ಮಾಸಿಕ ಚಿಟ್ ನೋಂದಣ'!$F$5:$F$502,C986,'CHIT REGISTER (ಮಾಸಿಕ ಚಿಟ್ ನೋಂದಣ'!$G$5:$G$502,"UNPAID")-IF(F986="PAID",N(D986),0)))</f>
        <v/>
      </c>
      <c r="F986" s="3"/>
      <c r="G986" s="14"/>
      <c r="H986" s="1"/>
    </row>
    <row r="987" spans="1:8">
      <c r="A987" s="2"/>
      <c r="B987" s="12"/>
      <c r="C987" s="2"/>
      <c r="D987" s="13"/>
      <c r="E987" s="8" t="str">
        <f>IF(C987="","",MAX(0,SUMIFS('CHIT REGISTER (ಮಾಸಿಕ ಚಿಟ್ ನೋಂದಣ'!$D$5:$D$502,'CHIT REGISTER (ಮಾಸಿಕ ಚಿಟ್ ನೋಂದಣ'!$F$5:$F$502,C987,'CHIT REGISTER (ಮಾಸಿಕ ಚಿಟ್ ನೋಂದಣ'!$G$5:$G$502,"UNPAID")-IF(F987="PAID",N(D987),0)))</f>
        <v/>
      </c>
      <c r="F987" s="4"/>
      <c r="G987" s="12"/>
      <c r="H987" s="2"/>
    </row>
    <row r="988" spans="1:8">
      <c r="A988" s="1"/>
      <c r="B988" s="14"/>
      <c r="C988" s="1"/>
      <c r="D988" s="15"/>
      <c r="E988" s="9" t="str">
        <f>IF(C988="","",MAX(0,SUMIFS('CHIT REGISTER (ಮಾಸಿಕ ಚಿಟ್ ನೋಂದಣ'!$D$5:$D$502,'CHIT REGISTER (ಮಾಸಿಕ ಚಿಟ್ ನೋಂದಣ'!$F$5:$F$502,C988,'CHIT REGISTER (ಮಾಸಿಕ ಚಿಟ್ ನೋಂದಣ'!$G$5:$G$502,"UNPAID")-IF(F988="PAID",N(D988),0)))</f>
        <v/>
      </c>
      <c r="F988" s="3"/>
      <c r="G988" s="14"/>
      <c r="H988" s="1"/>
    </row>
    <row r="989" spans="1:8">
      <c r="A989" s="2"/>
      <c r="B989" s="12"/>
      <c r="C989" s="2"/>
      <c r="D989" s="13"/>
      <c r="E989" s="8" t="str">
        <f>IF(C989="","",MAX(0,SUMIFS('CHIT REGISTER (ಮಾಸಿಕ ಚಿಟ್ ನೋಂದಣ'!$D$5:$D$502,'CHIT REGISTER (ಮಾಸಿಕ ಚಿಟ್ ನೋಂದಣ'!$F$5:$F$502,C989,'CHIT REGISTER (ಮಾಸಿಕ ಚಿಟ್ ನೋಂದಣ'!$G$5:$G$502,"UNPAID")-IF(F989="PAID",N(D989),0)))</f>
        <v/>
      </c>
      <c r="F989" s="4"/>
      <c r="G989" s="12"/>
      <c r="H989" s="2"/>
    </row>
    <row r="990" spans="1:8">
      <c r="A990" s="1"/>
      <c r="B990" s="14"/>
      <c r="C990" s="1"/>
      <c r="D990" s="15"/>
      <c r="E990" s="9" t="str">
        <f>IF(C990="","",MAX(0,SUMIFS('CHIT REGISTER (ಮಾಸಿಕ ಚಿಟ್ ನೋಂದಣ'!$D$5:$D$502,'CHIT REGISTER (ಮಾಸಿಕ ಚಿಟ್ ನೋಂದಣ'!$F$5:$F$502,C990,'CHIT REGISTER (ಮಾಸಿಕ ಚಿಟ್ ನೋಂದಣ'!$G$5:$G$502,"UNPAID")-IF(F990="PAID",N(D990),0)))</f>
        <v/>
      </c>
      <c r="F990" s="3"/>
      <c r="G990" s="14"/>
      <c r="H990" s="1"/>
    </row>
    <row r="991" spans="1:8">
      <c r="A991" s="2"/>
      <c r="B991" s="12"/>
      <c r="C991" s="2"/>
      <c r="D991" s="13"/>
      <c r="E991" s="8" t="str">
        <f>IF(C991="","",MAX(0,SUMIFS('CHIT REGISTER (ಮಾಸಿಕ ಚಿಟ್ ನೋಂದಣ'!$D$5:$D$502,'CHIT REGISTER (ಮಾಸಿಕ ಚಿಟ್ ನೋಂದಣ'!$F$5:$F$502,C991,'CHIT REGISTER (ಮಾಸಿಕ ಚಿಟ್ ನೋಂದಣ'!$G$5:$G$502,"UNPAID")-IF(F991="PAID",N(D991),0)))</f>
        <v/>
      </c>
      <c r="F991" s="4"/>
      <c r="G991" s="12"/>
      <c r="H991" s="2"/>
    </row>
    <row r="992" spans="1:8">
      <c r="A992" s="1"/>
      <c r="B992" s="14"/>
      <c r="C992" s="1"/>
      <c r="D992" s="15"/>
      <c r="E992" s="9" t="str">
        <f>IF(C992="","",MAX(0,SUMIFS('CHIT REGISTER (ಮಾಸಿಕ ಚಿಟ್ ನೋಂದಣ'!$D$5:$D$502,'CHIT REGISTER (ಮಾಸಿಕ ಚಿಟ್ ನೋಂದಣ'!$F$5:$F$502,C992,'CHIT REGISTER (ಮಾಸಿಕ ಚಿಟ್ ನೋಂದಣ'!$G$5:$G$502,"UNPAID")-IF(F992="PAID",N(D992),0)))</f>
        <v/>
      </c>
      <c r="F992" s="3"/>
      <c r="G992" s="14"/>
      <c r="H992" s="1"/>
    </row>
    <row r="993" spans="1:8">
      <c r="A993" s="2"/>
      <c r="B993" s="12"/>
      <c r="C993" s="2"/>
      <c r="D993" s="13"/>
      <c r="E993" s="8" t="str">
        <f>IF(C993="","",MAX(0,SUMIFS('CHIT REGISTER (ಮಾಸಿಕ ಚಿಟ್ ನೋಂದಣ'!$D$5:$D$502,'CHIT REGISTER (ಮಾಸಿಕ ಚಿಟ್ ನೋಂದಣ'!$F$5:$F$502,C993,'CHIT REGISTER (ಮಾಸಿಕ ಚಿಟ್ ನೋಂದಣ'!$G$5:$G$502,"UNPAID")-IF(F993="PAID",N(D993),0)))</f>
        <v/>
      </c>
      <c r="F993" s="4"/>
      <c r="G993" s="12"/>
      <c r="H993" s="2"/>
    </row>
    <row r="994" spans="1:8">
      <c r="A994" s="1"/>
      <c r="B994" s="14"/>
      <c r="C994" s="1"/>
      <c r="D994" s="15"/>
      <c r="E994" s="9" t="str">
        <f>IF(C994="","",MAX(0,SUMIFS('CHIT REGISTER (ಮಾಸಿಕ ಚಿಟ್ ನೋಂದಣ'!$D$5:$D$502,'CHIT REGISTER (ಮಾಸಿಕ ಚಿಟ್ ನೋಂದಣ'!$F$5:$F$502,C994,'CHIT REGISTER (ಮಾಸಿಕ ಚಿಟ್ ನೋಂದಣ'!$G$5:$G$502,"UNPAID")-IF(F994="PAID",N(D994),0)))</f>
        <v/>
      </c>
      <c r="F994" s="3"/>
      <c r="G994" s="14"/>
      <c r="H994" s="1"/>
    </row>
    <row r="995" spans="1:8">
      <c r="A995" s="2"/>
      <c r="B995" s="12"/>
      <c r="C995" s="2"/>
      <c r="D995" s="13"/>
      <c r="E995" s="8" t="str">
        <f>IF(C995="","",MAX(0,SUMIFS('CHIT REGISTER (ಮಾಸಿಕ ಚಿಟ್ ನೋಂದಣ'!$D$5:$D$502,'CHIT REGISTER (ಮಾಸಿಕ ಚಿಟ್ ನೋಂದಣ'!$F$5:$F$502,C995,'CHIT REGISTER (ಮಾಸಿಕ ಚಿಟ್ ನೋಂದಣ'!$G$5:$G$502,"UNPAID")-IF(F995="PAID",N(D995),0)))</f>
        <v/>
      </c>
      <c r="F995" s="4"/>
      <c r="G995" s="12"/>
      <c r="H995" s="2"/>
    </row>
    <row r="996" spans="1:8">
      <c r="A996" s="1"/>
      <c r="B996" s="14"/>
      <c r="C996" s="1"/>
      <c r="D996" s="15"/>
      <c r="E996" s="9" t="str">
        <f>IF(C996="","",MAX(0,SUMIFS('CHIT REGISTER (ಮಾಸಿಕ ಚಿಟ್ ನೋಂದಣ'!$D$5:$D$502,'CHIT REGISTER (ಮಾಸಿಕ ಚಿಟ್ ನೋಂದಣ'!$F$5:$F$502,C996,'CHIT REGISTER (ಮಾಸಿಕ ಚಿಟ್ ನೋಂದಣ'!$G$5:$G$502,"UNPAID")-IF(F996="PAID",N(D996),0)))</f>
        <v/>
      </c>
      <c r="F996" s="3"/>
      <c r="G996" s="14"/>
      <c r="H996" s="1"/>
    </row>
    <row r="997" spans="1:8">
      <c r="A997" s="2"/>
      <c r="B997" s="12"/>
      <c r="C997" s="2"/>
      <c r="D997" s="13"/>
      <c r="E997" s="8" t="str">
        <f>IF(C997="","",MAX(0,SUMIFS('CHIT REGISTER (ಮಾಸಿಕ ಚಿಟ್ ನೋಂದಣ'!$D$5:$D$502,'CHIT REGISTER (ಮಾಸಿಕ ಚಿಟ್ ನೋಂದಣ'!$F$5:$F$502,C997,'CHIT REGISTER (ಮಾಸಿಕ ಚಿಟ್ ನೋಂದಣ'!$G$5:$G$502,"UNPAID")-IF(F997="PAID",N(D997),0)))</f>
        <v/>
      </c>
      <c r="F997" s="4"/>
      <c r="G997" s="12"/>
      <c r="H997" s="2"/>
    </row>
  </sheetData>
  <autoFilter ref="A4:H997" xr:uid="{00000000-0009-0000-0000-000004000000}"/>
  <mergeCells count="2">
    <mergeCell ref="A2:H2"/>
    <mergeCell ref="A1:H1"/>
  </mergeCells>
  <conditionalFormatting sqref="F5:F997">
    <cfRule type="cellIs" dxfId="4" priority="1" operator="equal">
      <formula>"Paid"</formula>
    </cfRule>
    <cfRule type="cellIs" dxfId="3" priority="2" operator="equal">
      <formula>"Pending"</formula>
    </cfRule>
    <cfRule type="cellIs" dxfId="2" priority="3" operator="equal">
      <formula>"Partial"</formula>
    </cfRule>
    <cfRule type="cellIs" dxfId="1" priority="4" operator="equal">
      <formula>"PAID"</formula>
    </cfRule>
    <cfRule type="cellIs" dxfId="0" priority="5" operator="equal">
      <formula>"UNPAID"</formula>
    </cfRule>
  </conditionalFormatting>
  <dataValidations count="3">
    <dataValidation type="whole" operator="greaterThanOrEqual" allowBlank="1" sqref="A5:A997" xr:uid="{00000000-0002-0000-0400-000000000000}">
      <formula1>1</formula1>
    </dataValidation>
    <dataValidation type="list" allowBlank="1" showInputMessage="1" showErrorMessage="1" errorTitle="Invalid member" error="Please select a member from the Members sheet." promptTitle="Select member" prompt="Choose a member from the dropdown list." sqref="C5:C997" xr:uid="{00000000-0002-0000-0400-000001000000}">
      <formula1>MemberNames</formula1>
    </dataValidation>
    <dataValidation type="list" allowBlank="1" showInputMessage="1" showErrorMessage="1" errorTitle="Invalid status" error="Choose PAID or UNPAID." promptTitle="Payment status" prompt="Update this status manually." sqref="F5:F997" xr:uid="{00000000-0002-0000-0400-000002000000}">
      <formula1>"PAID,UNPAID"</formula1>
    </dataValidation>
  </dataValidations>
  <pageMargins left="0.75" right="0.75" top="1" bottom="1" header="0.5" footer="0.5"/>
  <pageSetup fitToHeight="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 Item (ಡ್ಯಾಶ್‌ಬೋರ್ಡ್ ಅ</vt:lpstr>
      <vt:lpstr>MEMBER REGISTER (ಸದಸ್ಯರ ಪಟ್ಟಿ)</vt:lpstr>
      <vt:lpstr>RECEIVED AMOUNT ( ಸ್ವೀಕರಿಸಿದ ಮೊ</vt:lpstr>
      <vt:lpstr>CHIT REGISTER (ಮಾಸಿಕ ಚಿಟ್ ನೋಂದಣ</vt:lpstr>
      <vt:lpstr>MEMBER PAYMENT LEDGER (ಸದಸ್ಯರ ಪ</vt:lpstr>
      <vt:lpstr>MemberNames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MANJUNATH LN</cp:lastModifiedBy>
  <cp:revision/>
  <dcterms:created xsi:type="dcterms:W3CDTF">2026-10-09T14:29:10Z</dcterms:created>
  <dcterms:modified xsi:type="dcterms:W3CDTF">2026-10-12T15:04:48Z</dcterms:modified>
  <cp:category/>
  <cp:contentStatus/>
</cp:coreProperties>
</file>